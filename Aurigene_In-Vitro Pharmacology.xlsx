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Novartis_IDD_2023_RFP\Final version _ Ariba\In-Vitro Pharmacology\"/>
    </mc:Choice>
  </mc:AlternateContent>
  <xr:revisionPtr revIDLastSave="0" documentId="13_ncr:1_{50D0A54F-8CD8-4B48-84CE-F268685E25D8}" xr6:coauthVersionLast="47" xr6:coauthVersionMax="47" xr10:uidLastSave="{00000000-0000-0000-0000-000000000000}"/>
  <workbookProtection workbookAlgorithmName="SHA-512" workbookHashValue="DHYCx7534r68FEA3/wOh3oNii124+0CoSTGnYdmlVauntymWy2fQXRRLLx7XBF1Fp4TyPCxHOijW3NeCVV0Sew==" workbookSaltValue="MVcb7aAWFxwp6WOjm1iUxA==" workbookSpinCount="100000" lockStructure="1"/>
  <bookViews>
    <workbookView xWindow="-120" yWindow="-120" windowWidth="20730" windowHeight="11160" firstSheet="1" activeTab="1" xr2:uid="{00000000-000D-0000-FFFF-FFFF00000000}"/>
  </bookViews>
  <sheets>
    <sheet name="Response Instructions" sheetId="3" r:id="rId1"/>
    <sheet name="In-vitro pharma-Questionnaire" sheetId="1" r:id="rId2"/>
    <sheet name="In-vitro pharmacology-Pricing"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AnimalModel">[1]Dropdowns!$H$5:$H$13</definedName>
    <definedName name="_Anticoagulant">[1]Dropdowns!$B$5:$B$7</definedName>
    <definedName name="_AssayAbbrev_Sheet11">"MAP PK OTHSP"</definedName>
    <definedName name="_AssayAbbrev_Sheet12">"PKS-GBL PKPD"</definedName>
    <definedName name="_AssayAbbrev_Sheet12_Q022">"MAP-BS PKPD"</definedName>
    <definedName name="_AssayAbbrev_Sheet13">"PKS-GBL PK"</definedName>
    <definedName name="_AssayAbbrev_Sheet14">"PKS PKPD"</definedName>
    <definedName name="_AssayAbbrev_Sheet4">"MAP-BS Brain"</definedName>
    <definedName name="_AssayId_Sheet11">"500000014899"</definedName>
    <definedName name="_AssayId_Sheet12">"500000118009"</definedName>
    <definedName name="_AssayId_Sheet13">"500000118014"</definedName>
    <definedName name="_AssayId_Sheet14">"500000118116"</definedName>
    <definedName name="_AssayId_Sheet4">"298688"</definedName>
    <definedName name="_AssayName_Sheet11">"MAP in vivo PK Other species than mouse, rat, and dog"</definedName>
    <definedName name="_AssayName_Sheet12">"PKS PKPD assessment"</definedName>
    <definedName name="_AssayName_Sheet13">"PKS PK assessment"</definedName>
    <definedName name="_AssayName_Sheet14">"PKS in vivo PKPD"</definedName>
    <definedName name="_AssayName_Sheet4">"MAP-Brain Penetration Assessment 1.0"</definedName>
    <definedName name="_CompoundTypes">[1]Dropdowns!$D$5:$D$7</definedName>
    <definedName name="_CustomVehicle">[1]Dropdowns!$G$43:$G$57</definedName>
    <definedName name="_Diet">[1]Dropdowns!$O$5:$O$7</definedName>
    <definedName name="_DosageForm">[1]Dropdowns!$N$5:$N$15</definedName>
    <definedName name="_Gender">[1]Dropdowns!$A$11:$A$13</definedName>
    <definedName name="_Matrix">[1]Dropdowns!$E$24:$E$90</definedName>
    <definedName name="_Priority">[1]Dropdowns!$D$11:$D$13</definedName>
    <definedName name="_Route">[1]Dropdowns!$G$5:$G$31</definedName>
    <definedName name="_ScalingFactors">'[1]New discovery PK study request'!$S$2:$T$7</definedName>
    <definedName name="_Species">[1]Dropdowns!$C$11:$C$18</definedName>
    <definedName name="_Stage">[1]Dropdowns!$F$5:$F$15</definedName>
    <definedName name="_Strain">#REF!</definedName>
    <definedName name="_StudyModel">[1]Dropdowns!$I$5:$I$7</definedName>
    <definedName name="_StudyType">[1]Dropdowns!$B$11:$B$12</definedName>
    <definedName name="_Vehicle">[1]Dropdowns!$L$5:$L$11</definedName>
    <definedName name="_YesNo">[1]Dropdowns!$A$5:$A$6</definedName>
    <definedName name="AnalyticalID">[2]General!$E$4</definedName>
    <definedName name="AnimalCombinedExp">#REF!</definedName>
    <definedName name="AnimalCorrTable">#REF!</definedName>
    <definedName name="AnimalData1">#REF!</definedName>
    <definedName name="AnimalData2">#REF!</definedName>
    <definedName name="AnimalData3">#REF!</definedName>
    <definedName name="AnimalData4">#REF!</definedName>
    <definedName name="AnimalExpNr">#REF!</definedName>
    <definedName name="AnimalLicense">#REF!</definedName>
    <definedName name="AnimalLicenseNumber">#REF!</definedName>
    <definedName name="AnimalModel">#REF!</definedName>
    <definedName name="AnimalRow11">[3]SamplingProtocol!#REF!</definedName>
    <definedName name="AnimalRow12">[3]SamplingProtocol!#REF!</definedName>
    <definedName name="AnimalRow13">[3]SamplingProtocol!#REF!</definedName>
    <definedName name="Animals">[1]Dropdowns!$J$2:INDEX([1]Dropdowns!$J:$J,COUNTA([1]Dropdowns!$J:$J))</definedName>
    <definedName name="AnimalSources">[4]Hidden!$B$4:$B$7</definedName>
    <definedName name="Anticoagulant">#REF!</definedName>
    <definedName name="Appearance">[5]DropDownBoxLists!$H$5:$H$8</definedName>
    <definedName name="ApplHeader">#REF!</definedName>
    <definedName name="ApplicationDates">#REF!</definedName>
    <definedName name="ApplicationTable">#REF!</definedName>
    <definedName name="BAComment">#REF!</definedName>
    <definedName name="BALab">#REF!</definedName>
    <definedName name="BALabJournal">#REF!</definedName>
    <definedName name="BAWorkFlow">[2]General!$B$33:$B$35,[2]General!$F$33:$F$35</definedName>
    <definedName name="BBRTableHeader">#REF!</definedName>
    <definedName name="Blood_30ul">#REF!</definedName>
    <definedName name="Blood_50ul">#REF!</definedName>
    <definedName name="brain">#REF!</definedName>
    <definedName name="CalcVolumes">[5]DropDownBoxLists!$D$17:$F$20</definedName>
    <definedName name="CalRange">#REF!</definedName>
    <definedName name="CalStd1">[6]Calibration!$B$11</definedName>
    <definedName name="CalStd10">[6]Calibration!$B$38</definedName>
    <definedName name="CalStd11">[6]Calibration!$B$41</definedName>
    <definedName name="CalStd12">[6]Calibration!$B$44</definedName>
    <definedName name="CalStd2">[6]Calibration!$B$14</definedName>
    <definedName name="CalStd3">[6]Calibration!$B$17</definedName>
    <definedName name="CalStd4">[6]Calibration!$B$20</definedName>
    <definedName name="CalStd5">[6]Calibration!$B$23</definedName>
    <definedName name="CalStd6">[6]Calibration!$B$26</definedName>
    <definedName name="CalStd7">[6]Calibration!$B$29</definedName>
    <definedName name="CalStd8">[6]Calibration!$B$32</definedName>
    <definedName name="CalStd9">[6]Calibration!$B$35</definedName>
    <definedName name="CharacterizationTable">#REF!</definedName>
    <definedName name="cLogP">[6]General!$F$37</definedName>
    <definedName name="Comments">#REF!</definedName>
    <definedName name="Composition">#REF!</definedName>
    <definedName name="Compound">[6]General!$A$37</definedName>
    <definedName name="Compounds">#REF!</definedName>
    <definedName name="CompoundTable">#REF!</definedName>
    <definedName name="CompoundTable_Extended">#REF!</definedName>
    <definedName name="CompoundTypes">#REF!:INDEX(#REF!,COUNTA(#REF!))</definedName>
    <definedName name="Config_ProtocolStyleRange">#REF!</definedName>
    <definedName name="ConfigAUCExtrapDefault">#REF!</definedName>
    <definedName name="ConfigChemistRange">#REF!</definedName>
    <definedName name="ConfigCompoundDosingType">#REF!</definedName>
    <definedName name="ConfigDosingUnits">#REF!</definedName>
    <definedName name="ConfigFromPhoenix">#REF!</definedName>
    <definedName name="ConfigGrpSyntax">#REF!</definedName>
    <definedName name="ConfigGSD">#REF!</definedName>
    <definedName name="ConfigMiniTox">#REF!</definedName>
    <definedName name="ConfigNCASheets">#REF!</definedName>
    <definedName name="ConfigNewExcelGSR">#REF!</definedName>
    <definedName name="ConfigNovAppProtExptTypeRange">#REF!</definedName>
    <definedName name="ConfigOneRoute">#REF!</definedName>
    <definedName name="ConfigPharonColNumRange">#REF!</definedName>
    <definedName name="ConfigPharonColumnsRange">#REF!</definedName>
    <definedName name="ConfigPharonUnitsRange">#REF!</definedName>
    <definedName name="ConfigPhoenixColumnsRange">#REF!</definedName>
    <definedName name="ConfigProtocolPath">#REF!</definedName>
    <definedName name="ConfigProtocolSheet">#REF!</definedName>
    <definedName name="ConfigRSQ">#REF!</definedName>
    <definedName name="ConfigSamplingRange">#REF!</definedName>
    <definedName name="ConfigStudyDirRange">#REF!</definedName>
    <definedName name="ConfigStudyOutlineRange">#REF!</definedName>
    <definedName name="ConfigToPhoenix">#REF!</definedName>
    <definedName name="ConfigXMLNew">#REF!</definedName>
    <definedName name="ConfigYesNoRange">#REF!</definedName>
    <definedName name="COUNTER">MATCH(#REF!,#REF!,0)</definedName>
    <definedName name="CoworkerID">#REF!</definedName>
    <definedName name="CPP_Protocol">#REF!</definedName>
    <definedName name="CPP_PTM">'[7]Study request'!#REF!</definedName>
    <definedName name="CrossOver">#REF!</definedName>
    <definedName name="CROStudyID">#REF!</definedName>
    <definedName name="Customer">#REF!</definedName>
    <definedName name="DA">#REF!</definedName>
    <definedName name="ddg">#REF!</definedName>
    <definedName name="Diet1">#REF!</definedName>
    <definedName name="Diet2">#REF!</definedName>
    <definedName name="Diet3">#REF!</definedName>
    <definedName name="DosageForm">#REF!:INDEX(#REF!,COUNTA(#REF!))</definedName>
    <definedName name="DosageForm1">#REF!</definedName>
    <definedName name="DosageForm2">'[7]Study request'!#REF!</definedName>
    <definedName name="DosageForm3">'[7]Study request'!#REF!</definedName>
    <definedName name="dose">[6]PKCalculation!$B$3</definedName>
    <definedName name="Dose1">'[1]New discovery PK study request'!$D$39</definedName>
    <definedName name="Dose2">'[1]New discovery PK study request'!$D$40</definedName>
    <definedName name="Dose3">'[1]New discovery PK study request'!$D$41</definedName>
    <definedName name="DoseUnit">#REF!</definedName>
    <definedName name="DosingRoute">#REF!</definedName>
    <definedName name="EndDate">#REF!</definedName>
    <definedName name="ExpEndDate">[8]General!$E$8</definedName>
    <definedName name="ExpStartDate">[9]General!$H$2</definedName>
    <definedName name="Floating">[8]FormulationProtocol!$AC$10:$AC$11</definedName>
    <definedName name="Formulation">[8]FormulationProtocol!$Z$10:$Z$11</definedName>
    <definedName name="FormulationLab">#REF!</definedName>
    <definedName name="FormulationLabJournal">#REF!</definedName>
    <definedName name="FormulationTable">#REF!</definedName>
    <definedName name="Gender">#REF!</definedName>
    <definedName name="ggg">#REF!</definedName>
    <definedName name="GSDColumnsEndMiniTox">#REF!</definedName>
    <definedName name="GSDColumnsEndOld">#REF!</definedName>
    <definedName name="GSDColumnsEndORE">#REF!</definedName>
    <definedName name="GSDColumnsStartMiniTox">#REF!</definedName>
    <definedName name="GSDColumnsStartOld">#REF!</definedName>
    <definedName name="GSDColumnsStartORE">#REF!</definedName>
    <definedName name="GSRColumnsEnd">#REF!</definedName>
    <definedName name="GSRColumnsStart">#REF!</definedName>
    <definedName name="HomeAnalChem">#REF!</definedName>
    <definedName name="HomeAnalytes">#REF!</definedName>
    <definedName name="HomeBAWorkbook">#REF!</definedName>
    <definedName name="HomeCRLStudyDir">#REF!</definedName>
    <definedName name="HomeCRLStudyNumber">#REF!</definedName>
    <definedName name="HomeDoNCA">#REF!</definedName>
    <definedName name="HomeEFN">#REF!</definedName>
    <definedName name="HomeInitDosingDate">#REF!</definedName>
    <definedName name="HomeInLifeFile">#REF!</definedName>
    <definedName name="HomePhoenixSheetNames">#REF!</definedName>
    <definedName name="HomePKImportPath">#REF!</definedName>
    <definedName name="HomeRDBFiles">#REF!</definedName>
    <definedName name="HomeReportDate">#REF!</definedName>
    <definedName name="HomeStudyType">#REF!</definedName>
    <definedName name="HomeTreatment">#REF!</definedName>
    <definedName name="HomogenateBrain">#REF!</definedName>
    <definedName name="HomogenateBrain_50">#REF!</definedName>
    <definedName name="HomogenateSkin">#REF!</definedName>
    <definedName name="InLifeComment1">#REF!</definedName>
    <definedName name="InLifeComment2">#REF!</definedName>
    <definedName name="InLifeCommentPre1">#REF!</definedName>
    <definedName name="InLifeCommentPre2">#REF!</definedName>
    <definedName name="InLifeLab">#REF!</definedName>
    <definedName name="InLifeLabJournal">#REF!</definedName>
    <definedName name="InLifeLabJournalPages">#REF!</definedName>
    <definedName name="InLifeOperator">[8]General!$F$7</definedName>
    <definedName name="InLifeStudyID">#REF!</definedName>
    <definedName name="InputTable">#REF!</definedName>
    <definedName name="IS">[6]General!$A$38</definedName>
    <definedName name="ivData">#REF!</definedName>
    <definedName name="ivDose">[6]General!$D$14</definedName>
    <definedName name="KeyID">#REF!</definedName>
    <definedName name="LabAssociate">#REF!</definedName>
    <definedName name="LabHead">#REF!</definedName>
    <definedName name="LabJournal">#REF!</definedName>
    <definedName name="LLOQ">[6]Calibration!$G$4</definedName>
    <definedName name="LNTS">[9]General!$F$4</definedName>
    <definedName name="Matrices">#REF!</definedName>
    <definedName name="Matrix">#REF!</definedName>
    <definedName name="MatrixCorrTable">#REF!</definedName>
    <definedName name="MatrixTable">#REF!</definedName>
    <definedName name="MeanWeight">#REF!</definedName>
    <definedName name="MiniToxColumnsEnd">#REF!</definedName>
    <definedName name="MiniToxColumnsStart">#REF!</definedName>
    <definedName name="MWBase">[6]General!$D$37</definedName>
    <definedName name="NC_1">[6]PKCalculation!$B$9:$B$11</definedName>
    <definedName name="NC_10">[6]PKCalculation!$N$19:$N$21</definedName>
    <definedName name="NC_11">[6]PKCalculation!$N$19:$N$21</definedName>
    <definedName name="NC_12">[6]PKCalculation!$N$19:$N$21</definedName>
    <definedName name="NC_13">[6]PKCalculation!$N$19:$N$21</definedName>
    <definedName name="NC_14">[6]PKCalculation!$N$19:$N$21</definedName>
    <definedName name="NC_15">[6]PKCalculation!$N$19:$N$21</definedName>
    <definedName name="NC_16">[6]PKCalculation!$N$19:$N$21</definedName>
    <definedName name="NC_17">[6]PKCalculation!$N$19:$N$21</definedName>
    <definedName name="NC_18">[6]PKCalculation!$N$19:$N$21</definedName>
    <definedName name="NC_19">[6]PKCalculation!$N$19:$N$21</definedName>
    <definedName name="NC_2">[6]PKCalculation!$N$19:$N$21</definedName>
    <definedName name="NC_20">[6]PKCalculation!$N$19:$N$21</definedName>
    <definedName name="NC_3">[6]PKCalculation!$N$19:$N$21</definedName>
    <definedName name="NC_4">[6]PKCalculation!$N$19:$N$21</definedName>
    <definedName name="NC_5">[6]PKCalculation!$N$19:$N$21</definedName>
    <definedName name="NC_6">[6]PKCalculation!$N$19:$N$21</definedName>
    <definedName name="NC_7">[6]PKCalculation!$N$19:$N$21</definedName>
    <definedName name="NC_8">[6]PKCalculation!$N$19:$N$21</definedName>
    <definedName name="NC_9">[6]PKCalculation!$N$19:$N$21</definedName>
    <definedName name="NC_Mean">[6]PKCalculation!$V$9:$V$11</definedName>
    <definedName name="NCATemplateRange">#REF!</definedName>
    <definedName name="NCC">#REF!</definedName>
    <definedName name="NewXMLRoute">#REF!</definedName>
    <definedName name="NMPComment">#REF!</definedName>
    <definedName name="Nr">#REF!</definedName>
    <definedName name="NrAnimals">'[1]New discovery PK study request'!$C$37</definedName>
    <definedName name="NumAnimals">#REF!</definedName>
    <definedName name="Operators">[4]Hidden!$B$11:$B$19</definedName>
    <definedName name="oraldose">[6]PKCalculation!$B$4</definedName>
    <definedName name="OrderID">#REF!</definedName>
    <definedName name="Outsourced">#REF!</definedName>
    <definedName name="Overage_factor">'[1]New discovery PK study request'!$S$11</definedName>
    <definedName name="ParticleSize">[5]DropDownBoxLists!$G$5:$G$7</definedName>
    <definedName name="PDModelComments">#REF!</definedName>
    <definedName name="PDPharonID">#REF!</definedName>
    <definedName name="PDReadout">#REF!</definedName>
    <definedName name="PDReportDate">#REF!</definedName>
    <definedName name="PK_Observations">#REF!</definedName>
    <definedName name="PKData">#REF!</definedName>
    <definedName name="PKPD_Version">#REF!</definedName>
    <definedName name="Plasma">#REF!</definedName>
    <definedName name="Plasma_100ul">#REF!</definedName>
    <definedName name="Plasma_10ul">#REF!</definedName>
    <definedName name="Plasma_50ul">#REF!</definedName>
    <definedName name="Plate">#REF!</definedName>
    <definedName name="PlateHeader">#REF!</definedName>
    <definedName name="PlateVerticalDesc">#REF!</definedName>
    <definedName name="poData">#REF!</definedName>
    <definedName name="poDataCorr">#REF!</definedName>
    <definedName name="PreparationTable">#REF!</definedName>
    <definedName name="PreTreatment">#REF!</definedName>
    <definedName name="Priority">#REF!</definedName>
    <definedName name="Protocol">#REF!</definedName>
    <definedName name="Protocol_JPG">#REF!</definedName>
    <definedName name="Protocol_JPG_Root">#REF!</definedName>
    <definedName name="Protocol_Path">#REF!</definedName>
    <definedName name="Protocol_ProtocolStyle">#REF!</definedName>
    <definedName name="Protocol_SamplingMethod">#REF!</definedName>
    <definedName name="ProtocolWordPath">#REF!</definedName>
    <definedName name="PTM">#REF!</definedName>
    <definedName name="PTR">[9]General!$C$10</definedName>
    <definedName name="PTRLabJournal">#REF!</definedName>
    <definedName name="Redispersibility">[8]FormulationProtocol!$AB$10:$AB$11</definedName>
    <definedName name="Reg_type">[6]Calibration!$H$76</definedName>
    <definedName name="RequestDate">#REF!</definedName>
    <definedName name="res_iv1">#REF!</definedName>
    <definedName name="res_iv10">#REF!</definedName>
    <definedName name="res_iv11">#REF!</definedName>
    <definedName name="res_iv12">#REF!</definedName>
    <definedName name="res_iv13">#REF!</definedName>
    <definedName name="res_iv14">#REF!</definedName>
    <definedName name="res_iv15">#REF!</definedName>
    <definedName name="res_iv16">#REF!</definedName>
    <definedName name="res_iv17">#REF!</definedName>
    <definedName name="res_iv18">#REF!</definedName>
    <definedName name="res_iv19">#REF!</definedName>
    <definedName name="res_iv2">#REF!</definedName>
    <definedName name="res_iv20">#REF!</definedName>
    <definedName name="res_iv3">#REF!</definedName>
    <definedName name="res_iv4">[10]data_Blood!$E$8:$E$22</definedName>
    <definedName name="res_iv5">#REF!</definedName>
    <definedName name="res_iv6">#REF!</definedName>
    <definedName name="res_iv7">#REF!</definedName>
    <definedName name="res_iv8">#REF!</definedName>
    <definedName name="res_iv9">#REF!</definedName>
    <definedName name="res_ivMean">#REF!</definedName>
    <definedName name="res_po1">#REF!</definedName>
    <definedName name="res_po10">#REF!</definedName>
    <definedName name="res_po11">#REF!</definedName>
    <definedName name="res_po12">#REF!</definedName>
    <definedName name="res_po13">#REF!</definedName>
    <definedName name="res_po14">#REF!</definedName>
    <definedName name="res_po15">#REF!</definedName>
    <definedName name="res_po16">#REF!</definedName>
    <definedName name="res_po17">#REF!</definedName>
    <definedName name="res_po18">#REF!</definedName>
    <definedName name="res_po19">#REF!</definedName>
    <definedName name="res_po2">#REF!</definedName>
    <definedName name="res_po20">#REF!</definedName>
    <definedName name="res_po3">#REF!</definedName>
    <definedName name="res_po4">#REF!</definedName>
    <definedName name="res_po5">#REF!</definedName>
    <definedName name="res_po6">#REF!</definedName>
    <definedName name="res_po7">#REF!</definedName>
    <definedName name="res_po8">#REF!</definedName>
    <definedName name="res_po9">#REF!</definedName>
    <definedName name="res_poMean">#REF!</definedName>
    <definedName name="ResultColumns">[10]ResultsPK!$W:$X</definedName>
    <definedName name="Route">#REF!:INDEX(#REF!,COUNTA(#REF!))</definedName>
    <definedName name="Route1">'[1]New discovery PK study request'!$C$39</definedName>
    <definedName name="Route2">'[1]New discovery PK study request'!$C$40</definedName>
    <definedName name="Route3">'[1]New discovery PK study request'!$C$41</definedName>
    <definedName name="RowPO">[6]PKCalculation!$D$4</definedName>
    <definedName name="SampleDeliveryDate">#REF!</definedName>
    <definedName name="SamplePrepMethList">#REF!</definedName>
    <definedName name="SamplePrepProc">[11]SamplePrep!#REF!</definedName>
    <definedName name="samples">#REF!</definedName>
    <definedName name="SamplingTimes">#REF!</definedName>
    <definedName name="SamplingTimes1">#REF!</definedName>
    <definedName name="SamplingTimes2">'[7]Study request'!#REF!</definedName>
    <definedName name="SamplingTimes3">'[7]Study request'!#REF!</definedName>
    <definedName name="SamplingTimeTable">#REF!</definedName>
    <definedName name="Sedimentation">[8]FormulationProtocol!$AA$10:$AA$12</definedName>
    <definedName name="SequenceHeader">#REF!</definedName>
    <definedName name="Series1">#REF!</definedName>
    <definedName name="Series2">#REF!</definedName>
    <definedName name="Series3">#REF!</definedName>
    <definedName name="Site">#REF!</definedName>
    <definedName name="SolidState">[5]DropDownBoxLists!$F$5:$F$7</definedName>
    <definedName name="sonication">[8]FormulationProtocol!$Z$5:$Z$6</definedName>
    <definedName name="Species">'[1]New discovery PK study request'!$C$34</definedName>
    <definedName name="SpeciesStart">[1]Dropdowns!$J$1</definedName>
    <definedName name="Stage">#REF!</definedName>
    <definedName name="Step10">#REF!</definedName>
    <definedName name="Step100">#REF!</definedName>
    <definedName name="Step20">#REF!</definedName>
    <definedName name="Step30">#REF!</definedName>
    <definedName name="Step70">#REF!</definedName>
    <definedName name="Step80">#REF!</definedName>
    <definedName name="Step90">#REF!</definedName>
    <definedName name="Strain">'[1]New discovery PK study request'!$D$34</definedName>
    <definedName name="StudyCategory">#REF!</definedName>
    <definedName name="StudyComment1">#REF!</definedName>
    <definedName name="StudyComment2">#REF!</definedName>
    <definedName name="StudyCommentPre1">#REF!</definedName>
    <definedName name="StudyCommentPre2">#REF!</definedName>
    <definedName name="StudyDescription">[9]General!$C$5</definedName>
    <definedName name="StudyDesign">#REF!</definedName>
    <definedName name="StudyID">[9]General!$C$4</definedName>
    <definedName name="StudyIDPD">#REF!</definedName>
    <definedName name="StudyModel">#REF!</definedName>
    <definedName name="StudyNo">#REF!</definedName>
    <definedName name="StudyOutline">#REF!</definedName>
    <definedName name="StudyPurpose">#REF!</definedName>
    <definedName name="StudyType">#REF!</definedName>
    <definedName name="Substanzen">[12]General!$A$13:$A$26</definedName>
    <definedName name="Supplier">#REF!</definedName>
    <definedName name="timepts_iv">#REF!</definedName>
    <definedName name="timepts_po">#REF!</definedName>
    <definedName name="TreatmentTable">#REF!</definedName>
    <definedName name="Type">[6]General!$C$37</definedName>
    <definedName name="ULOQ">[6]Calibration!$G$5</definedName>
    <definedName name="Use_of_probe_sonication">'[13]Suspension Scoring system'!$A$3:$C$3</definedName>
    <definedName name="UseStrains" localSheetId="2">INDEX([14]!Strain,1,COUNTER):INDEX([14]!Strain,12,MATCH(#REF!,#REF!,0))</definedName>
    <definedName name="UseStrains" localSheetId="0">INDEX([14]!Strain,1,COUNTER):INDEX([14]!Strain,12,MATCH(#REF!,#REF!,0))</definedName>
    <definedName name="UseStrains">INDEX([14]!Strain,1,COUNTER):INDEX([14]!Strain,12,MATCH(#REF!,#REF!,0))</definedName>
    <definedName name="Vehic1">'[1]New discovery PK study request'!$E$74</definedName>
    <definedName name="Vehic2">'[1]New discovery PK study request'!$E$75</definedName>
    <definedName name="Vehic3">'[1]New discovery PK study request'!$E$76</definedName>
    <definedName name="Vehicle">#REF!</definedName>
    <definedName name="Vehicle1">'[7]Study request'!#REF!</definedName>
    <definedName name="vehicle10">#REF!</definedName>
    <definedName name="Vehicle2">'[7]Study request'!#REF!</definedName>
    <definedName name="Vehicle3">'[7]Study request'!#REF!</definedName>
    <definedName name="Vehicle4">#REF!</definedName>
    <definedName name="VehicleOct">#REF!</definedName>
    <definedName name="Volume">#REF!</definedName>
    <definedName name="Volume1">'[1]New discovery PK study request'!$D$42</definedName>
    <definedName name="Volume2">'[1]New discovery PK study request'!$D$43</definedName>
    <definedName name="Volume3">'[1]New discovery PK study request'!$D$44</definedName>
    <definedName name="washout">[10]data_Blood!$W$47</definedName>
    <definedName name="WellLabels">#REF!</definedName>
    <definedName name="XLabels_iv">#REF!</definedName>
    <definedName name="XLabels_po">#REF!</definedName>
    <definedName name="x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1" l="1"/>
  <c r="D42" i="1"/>
  <c r="E3" i="2"/>
  <c r="E7" i="2"/>
  <c r="E6" i="2"/>
  <c r="E5" i="2"/>
  <c r="E4" i="2"/>
  <c r="E55" i="1"/>
  <c r="D55" i="1"/>
  <c r="C55" i="1"/>
  <c r="E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Singh, Amrinder</author>
  </authors>
  <commentList>
    <comment ref="C42" authorId="0" shapeId="0" xr:uid="{00000000-0006-0000-0100-000001000000}">
      <text>
        <r>
          <rPr>
            <sz val="9"/>
            <color indexed="81"/>
            <rFont val="Tahoma"/>
            <family val="2"/>
          </rPr>
          <t>Auto Sum Field
Do not change formula</t>
        </r>
      </text>
    </comment>
    <comment ref="D42" authorId="0" shapeId="0" xr:uid="{00000000-0006-0000-0100-000002000000}">
      <text>
        <r>
          <rPr>
            <sz val="9"/>
            <color indexed="81"/>
            <rFont val="Tahoma"/>
            <family val="2"/>
          </rPr>
          <t>Auto Sum Field
Do not change formula</t>
        </r>
      </text>
    </comment>
    <comment ref="E42" authorId="0" shapeId="0" xr:uid="{00000000-0006-0000-0100-000003000000}">
      <text>
        <r>
          <rPr>
            <sz val="9"/>
            <color indexed="81"/>
            <rFont val="Tahoma"/>
            <family val="2"/>
          </rPr>
          <t>Auto Sum Field
Do not change formula</t>
        </r>
      </text>
    </comment>
    <comment ref="C55" authorId="0" shapeId="0" xr:uid="{00000000-0006-0000-0100-000004000000}">
      <text>
        <r>
          <rPr>
            <sz val="9"/>
            <color indexed="81"/>
            <rFont val="Tahoma"/>
            <family val="2"/>
          </rPr>
          <t>Auto Sum Field
Do not change formula</t>
        </r>
      </text>
    </comment>
    <comment ref="D55" authorId="0" shapeId="0" xr:uid="{00000000-0006-0000-0100-000005000000}">
      <text>
        <r>
          <rPr>
            <sz val="9"/>
            <color indexed="81"/>
            <rFont val="Tahoma"/>
            <family val="2"/>
          </rPr>
          <t>Auto Sum Field
Do not change formula</t>
        </r>
      </text>
    </comment>
    <comment ref="E55" authorId="0" shapeId="0" xr:uid="{00000000-0006-0000-0100-000006000000}">
      <text>
        <r>
          <rPr>
            <sz val="9"/>
            <color indexed="81"/>
            <rFont val="Tahoma"/>
            <family val="2"/>
          </rPr>
          <t>Auto Sum Field
Do not change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Singh, Amrinder</author>
  </authors>
  <commentList>
    <comment ref="E3" authorId="0" shapeId="0" xr:uid="{00000000-0006-0000-0200-000001000000}">
      <text>
        <r>
          <rPr>
            <sz val="9"/>
            <color indexed="81"/>
            <rFont val="Tahoma"/>
            <family val="2"/>
          </rPr>
          <t>Auto Sum field. 
Do not change formula</t>
        </r>
      </text>
    </comment>
    <comment ref="E4" authorId="0" shapeId="0" xr:uid="{00000000-0006-0000-0200-000002000000}">
      <text>
        <r>
          <rPr>
            <sz val="9"/>
            <color indexed="81"/>
            <rFont val="Tahoma"/>
            <family val="2"/>
          </rPr>
          <t>Auto Sum field. 
Do not change formula</t>
        </r>
      </text>
    </comment>
    <comment ref="E5" authorId="0" shapeId="0" xr:uid="{00000000-0006-0000-0200-000003000000}">
      <text>
        <r>
          <rPr>
            <sz val="9"/>
            <color indexed="81"/>
            <rFont val="Tahoma"/>
            <family val="2"/>
          </rPr>
          <t>Auto Sum field. 
Do not change formula</t>
        </r>
      </text>
    </comment>
    <comment ref="E6" authorId="0" shapeId="0" xr:uid="{00000000-0006-0000-0200-000004000000}">
      <text>
        <r>
          <rPr>
            <sz val="9"/>
            <color indexed="81"/>
            <rFont val="Tahoma"/>
            <family val="2"/>
          </rPr>
          <t>Auto Sum field. 
Do not change formula</t>
        </r>
      </text>
    </comment>
    <comment ref="E7" authorId="0" shapeId="0" xr:uid="{00000000-0006-0000-0200-000005000000}">
      <text>
        <r>
          <rPr>
            <sz val="9"/>
            <color indexed="81"/>
            <rFont val="Tahoma"/>
            <family val="2"/>
          </rPr>
          <t>Auto Sum field. 
Do not change formula</t>
        </r>
      </text>
    </comment>
  </commentList>
</comments>
</file>

<file path=xl/sharedStrings.xml><?xml version="1.0" encoding="utf-8"?>
<sst xmlns="http://schemas.openxmlformats.org/spreadsheetml/2006/main" count="296" uniqueCount="204">
  <si>
    <t>Submit the answers to the questions as per instructions below</t>
  </si>
  <si>
    <t/>
  </si>
  <si>
    <t>Please proceed through each worksheet using the tabs at the bottom of the window and fill out the required information. Read the instructions and guidance carefully before answering.</t>
  </si>
  <si>
    <t>General Guidelines and Cell Legend</t>
  </si>
  <si>
    <t>Please provide a precise and concise answer to the questions</t>
  </si>
  <si>
    <t>Please refer the protocols and guidance documents provided as attachments under each section for details</t>
  </si>
  <si>
    <t>Please use drop down list wherever available</t>
  </si>
  <si>
    <t>Please do not add or delete any rows and columns in the questionnaire excel sheets</t>
  </si>
  <si>
    <t>Please do not add or delete any sheets in questionnaire excel sheets</t>
  </si>
  <si>
    <t>Please attach supporting documents in space provided in Ariba only</t>
  </si>
  <si>
    <r>
      <t xml:space="preserve">Naming convention for response sheets: </t>
    </r>
    <r>
      <rPr>
        <b/>
        <i/>
        <sz val="10"/>
        <rFont val="Arial"/>
        <family val="2"/>
      </rPr>
      <t>&lt;SupplierName_Chemistry&gt;, &lt;SupplierName_PKS-inVitroADME&gt; and so on</t>
    </r>
  </si>
  <si>
    <t>Cells in the sheets have a meaning indicated by the colors as follows:</t>
  </si>
  <si>
    <t>Header Information: For your proposal to be accepted do not modify these cells</t>
  </si>
  <si>
    <t>Sub-header Information: For your proposal to be accepted do not modify these cells</t>
  </si>
  <si>
    <t>RFP Questions. For your proposal to be accepted do not modify these cells</t>
  </si>
  <si>
    <t>Formula fields. For your proposal to be accepted do not modify these cells</t>
  </si>
  <si>
    <r>
      <rPr>
        <b/>
        <sz val="10"/>
        <rFont val="Arial"/>
        <family val="2"/>
      </rPr>
      <t>Bidding data cells</t>
    </r>
    <r>
      <rPr>
        <sz val="10"/>
        <rFont val="Arial"/>
        <family val="2"/>
      </rPr>
      <t>. Only these cells are required to be filled in response to the RFP questions</t>
    </r>
  </si>
  <si>
    <r>
      <t xml:space="preserve">Answer may need attachment. Please attach the requireded file under given section in </t>
    </r>
    <r>
      <rPr>
        <b/>
        <sz val="10"/>
        <rFont val="Arial"/>
        <family val="2"/>
      </rPr>
      <t xml:space="preserve">Ariba only </t>
    </r>
  </si>
  <si>
    <t>Q. No.</t>
  </si>
  <si>
    <t>Section/Questions - for each of the questions provide details if the activity is done in-house or by external third party</t>
  </si>
  <si>
    <t>CRO response</t>
  </si>
  <si>
    <t>Description
(short answer)</t>
  </si>
  <si>
    <t>in vitro activity assay development - Capability</t>
  </si>
  <si>
    <t>Have you developed novel biochemical in vitro activity assays (no prior knowledge in the literature or at the customer) including design and production or acquisition of assay reagents? If yes, give specific details (assay technology, assay format, high level protocol, equipment used, frequency and number of compounds tested).</t>
  </si>
  <si>
    <t>In-house</t>
  </si>
  <si>
    <t>1. Developed an AlphaLISA assay for an ongoing IDD programme. Successfully optimized the assay conditions for buffer, and enzyme and substrate concentrations, followed by validation with a tool compound. The specific information is as follows: Assay Technology - AlphaLISA; Assay Format - 384-well plate; equipment used - Envision 2105; high level protocol - refer to Aurigene_Invitro_Biochemistry.pdf Slide 3.                                        2. Developed a biochemical assay for a kinase for an IDD programme. The commercial source available for the protein was inactive, therefore the protein was designed and made in-house. Assay optimization was carried out by titrating the enzyme and substrate concentrations, time of incubation, assessing DMSO tolerability, temperature and pH, followed by validation with a known standard. Assay Technology - ADP Glo; Assay Format - 384 well plate; Equipment - Envision 2105, Assay Frequency: Weekly as part of regular compound screening, no. of compounds: 10-15 per week. For high level protocol, plesae refer to slide#4 in the assay attachment- Aurigene_Invitro_Biochemistry.pdf.</t>
  </si>
  <si>
    <t>Have you developed novel cellular in vitro activity assays (no prior knowledge in the literature or at the customer) including design and production or acquisition of assay reagents? If yes, give specific details (assay technology, assay format, high level protocol, equipment used, frequency and number of compounds tested).</t>
  </si>
  <si>
    <t xml:space="preserve">1. Assay Technology - NanoBRET, Protein construct was designed with Nluc and expressed in cells. Assay Format - 96-well, equipment used - Envision 2105, Number of compounds tested - ~10. Please refer to slide 5 in Aurigene_Invitro_Cell based assays.pdf for a high level protocol.                                     2. Assay Technology - NanoBIT, Assay Format - 384-well, Equipment used - Envision 2105, Number of compounds tested - ~30. For a high-level protocol summary, please refer to slide no. 6 in the attachment- Aurigene_Invitro_Cell based assays.pdf.                                </t>
  </si>
  <si>
    <t>Do you document the assay development lab work and the resulting data? If yes, give specific details on your documentation procedures, quality and compliance control processes and way of documentation (e.g. paper lab notebooks, electronic lab notebooks)</t>
  </si>
  <si>
    <t>Yes; during assay optimization, we document the details of the protocol and assay readout in an excel format, paper lab note books and power point formats. Each excel sheet will have the protocol, raw data, and the analyzed data. These documents are shared regularly with the clients by storing in client-specific sharepoint folders. Post finalization of the protocol, detailed agreed-upon SOP is shared with the client and followed for screening to maintain protocol consistency and integrity.</t>
  </si>
  <si>
    <t>in vitro activity assay adaption</t>
  </si>
  <si>
    <t>Have you established biochemical in vitro activity assays in your organisation based on literature or customer assay protocols? If yes, give specific details: number of assays and for each assay year of implementation, the assay technology, assay format, high level protocol, equipment used and examples of data reported.</t>
  </si>
  <si>
    <t>Assays Developed - AlphaLISA, TR-FRET, Fluorescence Polarization, Assay Quant                                                        1. AlphaLISA - Year of implementation - 2023, Assay Technology - AlphaLISA, Assay Format - 384 well, Equipment used - Envision 2105, For high level protocol and data - please refer to Aurigene_Invitro_Biochemistry.pdf; Slide 5,                                                 2. FP - Year of implementation - 2021, Assay Technology- FP, Assay Format - 384 well, High level protocol-please see slide 6 of Aurigene_Invitro_Biochemistry.pdf, Equipment used - Envision 2105.                                3. TR-FRET - Year of implementation - 2022, Assay Technology- TR-FRET, Assay Format - 384 well, High level protocol - please see slide 7 of Aurigene_Invitro_Biochemistry.pdf, Equipment used - Envision 2105, For data, please see slide 7 of Aurigene_Invitro_Biochemistry.pdf                                         4. Assay Quant- Year of implementation - 2022, Assay Technology - AssayQuant, Assay Format - 384 well, equipment used - Envision 2105. For a high level protocol and data- refer to slide 8 of Aurigene_Invitro_Biochemistry.pdf</t>
  </si>
  <si>
    <t>Have established cellular in vitro activity assays in your organisation based on literature or customer assay protocols? If yes, give specific details: number of assays and for each assay year of implementation, the assay technology, assay format, high level protocol, equipment used and examples of data reported.</t>
  </si>
  <si>
    <t xml:space="preserve">Assays Developed: Cell Proliferation, HiBiT, HTRF, Cell Cycle Analysis                                                                                                                                                                                                                            1. Cell Proliferation - Year of implementation - 2021, Assay Technology - Cell Titre Glo, Assay Format - 384 &amp; 96 well plate, High level protocol -please see slide 3 of Aurigene_Invitro_Cell based assays.pdf, Equipment used - VictorX5 and Envision2105                               2. HiBiT - Year of Implementation - 2021, Assay Technology - HiBiT, Assay Format - 384 well, Protocol - please refer to slide 4 of Aurigene_Invitro_Cell based assays.pdf, Equipment used - VictorX5                       3. Assay Technology - Necroptosis Assay, Assay Format - 96 well, High Level protocol - refer slide 7 of Aurigene_Invitro_Cell based assays.pdf, Equipment used - Envision 2105, Number of compounds tested ~50                           4. HTRF- Year of implementation - 2022, Assay Technology - HTRF, Assay Format - 384 well, Protocol - refer to slide 8 of Aurigene_Invitro_Cell based assays.pdf, Equipment used - Envision 2105.                                        5.Cell Cycle - Year of implementation - 2022, Assay Technology - assess cell cycle arrest using a DNA-staining fluorescent dye, Assay Format - 6-well plate, Equipment used - Cytoflex. For a high-level protocol, please refer to slide 10 of Aurigene_Invitro_Cell based assays.pdf. </t>
  </si>
  <si>
    <t>Do you have a standardized process, which you use to onboard new in vitro activity assay projects with customers? If yes, please describe the process in detail.</t>
  </si>
  <si>
    <t>Do you have a standardized process for assay adaption from customer or literature protocols? If yes, please describe the process in detail incl. assay QC methods and IT-tools used.</t>
  </si>
  <si>
    <t>Do you currently employ assay biologists with experience in the adaption and execution of biochemical in vitro activity assays? If yes, please describe their numbers, years of experience and their detailed skill set.</t>
  </si>
  <si>
    <t>Yes, the team has 14 scientists with varied industry experience ranging from 1 year to 15+ years post a Masters degree in science. Additionally, there are two team leads with Ph.D. followed by postdoctoral training of 5-6 years in the US. and minimally 8 years of industry experience in assay development, phenotypic screening, cell biology and molecular biology. The team has signficant experience working in FFS and IDD projects, both FTE and milestone-based. Bench scientists have experience in biochemical in vitro and cell-based in vitro assays, and are trained cross-functionally.</t>
  </si>
  <si>
    <t>Do you currently employ assay biologists with experience in the adaption and execution of cellular in vitro activity assays? If yes, please describe their numbers, years of experience and their detailed skill set.</t>
  </si>
  <si>
    <t>Do you use any specific IT-applications for assay development and adaptations? If yes, please give on the software and their applications.</t>
  </si>
  <si>
    <t>Do you document the assay adaption lab work and the resulting data? If yes, give specific details on your documentation procedures, quality and compliance control processes and way of documentation (e.g. paper lab notebooks, electronic lab notebooks)</t>
  </si>
  <si>
    <t>in vitro activity assay execution</t>
  </si>
  <si>
    <t>Please fill the table in section 7 with the assay technologies you have successfully establised and run for customers (feel free to add additional technologies)</t>
  </si>
  <si>
    <t>Refer section 7</t>
  </si>
  <si>
    <t>Do you have dedicated laboratory facilities for in vitro activity assays? If yes, please give specific details on the available capabilities, the lab size (square meters), lab setup (ventilation, bio-safety) and the general lab equipment currently in place.</t>
  </si>
  <si>
    <t>Do you have the necessary lab equipment and detection technologies in place to run biochemical and cellular in vitro activity assays? If yes, please describe the assay detection technologies, liquid handling technologies and other equipment you have available including the specific devices and their numbers (Plate readers, imagers, MS, FACS, acoustic dispensing devices, low volume dispensers, plate washers, ... )</t>
  </si>
  <si>
    <t>Do you have the necessary capabilities in place for the storage, handling and expansion of cell lines for assays? If yes, please give details on the specific equipment and processes for cell storage, handling, expansion and dispensing (steril hoods, quality control, safety levels, ...)</t>
  </si>
  <si>
    <t xml:space="preserve">For cell culture related, we have multiple biosafety hoods exclusively for in-vitro cell culture facility. We have two liquid nitrogen tanks to store cells and ampoules for long-term storage. Cell storage information is well-documented and shared internally. The maps of the storage racks are updated periodically every month. Along with these, we have deep freezers to store cells on temporary basis for freezing down cells. </t>
  </si>
  <si>
    <t>Have you analysed and processed in vitro assay data? If yes, please describe in detail how you analyse raw assay data, do data QC and curve fitting. Please give details on methods, report types and IT-tools incl. "real world" examples.</t>
  </si>
  <si>
    <t>Do you provide customize assay data files and reports to customers and regular progress updates on assay data? If yes, please describe your assay data reporting formats and communication channels including the IT-tools used to generate the reports, the IT-tools and channels used for communication and real examples.</t>
  </si>
  <si>
    <t>Have integrated the upload of data assay files upload to customers software systems (e.g. with automated and standarized file upload, via Web-services or through Cloud-services). If yes, please give specific examples.</t>
  </si>
  <si>
    <t>Do you document the assay execution lab work and the resulting data? If yes, give specific details on your documentation procedures, quality and compliance control processes and way of documentation (e.g. paper lab notebooks, electronic lab notebooks)</t>
  </si>
  <si>
    <t xml:space="preserve">Detailed documentation in paper Lab notebooks is strictly followed by all the scientists. Assay execution protocols, raw data and analyzed data is stored in excel sheets. Raw data obrtained from instruments is stored in the instrument computers and frequently backedup by our IT for further analysis. These details are shared with clients and stored in sharepoint folders and clinet specific folders. Analyzed data is discussed with the client in power point format and subsequent execution plans are shared with the client as needed. For most of the clients, we use paper lab notebooks, while for some specific clients, based on their recommendation, we use eLN. We are planning to implement eLN for all the clients in the coming future. </t>
  </si>
  <si>
    <t>Reagent generation for cellular in vitro activity assays</t>
  </si>
  <si>
    <t>Do you have the capability to generate and maintain engineered cell lines, staining antibodies or other reagents for cellular assays? If yes please give specific details of the methods used and examples.</t>
  </si>
  <si>
    <t>Reagent generation for biochemical in vitro activity assays (Protein Production)</t>
  </si>
  <si>
    <t>Do you have experience in protein expression/purification? If yes, please provide evidence / references.</t>
  </si>
  <si>
    <t>Do you have experience in E.coli expression?  If yes, please provide evidence / references incl. number of years, number of projects executed and possible scale (in liters).</t>
  </si>
  <si>
    <t>Do you have experience in BV expression using bac to bac system?  If yes, please provide evidence / references incl. number of years, number of projects executed and possible scale (in liters).</t>
  </si>
  <si>
    <t>Do you have experience in Mammalian Cell–Based Protein Expression?  If yes, please provide evidence / references incl. number of years, number of projects executed and possible scale (in liters).</t>
  </si>
  <si>
    <t>Do you have access to the services required for protein cloning, expression and purification? If yes please specific which services (DNA-synthesis, sequencing, cloning, analytics, ...) you use (in house instruments used, or list the third party provider services)</t>
  </si>
  <si>
    <t>Third-party</t>
  </si>
  <si>
    <t>x-ray protein crystallography</t>
  </si>
  <si>
    <t>Does your company have experience with protein X-ray crystallography? If yes, please describe in detail your company's experience (years and number of projects executed) and which capabilities are available in house or at which third party provider including growing crystals, data collection, and structure determination</t>
  </si>
  <si>
    <r>
      <t xml:space="preserve">In vitro activity assay execution (continuation of section 3.1)
</t>
    </r>
    <r>
      <rPr>
        <sz val="9"/>
        <color rgb="FF000000"/>
        <rFont val="Arial"/>
        <family val="2"/>
      </rPr>
      <t>List only assays run by you in your facilities (exclude assays run by third parties)</t>
    </r>
  </si>
  <si>
    <t>Assays run from 2021 to June 2023</t>
  </si>
  <si>
    <r>
      <t xml:space="preserve">Assay formats used
</t>
    </r>
    <r>
      <rPr>
        <sz val="9"/>
        <color rgb="FF000000"/>
        <rFont val="Arial"/>
        <family val="2"/>
      </rPr>
      <t>(96, 384 or 1536 plates)</t>
    </r>
  </si>
  <si>
    <t>Average number of compounds tested per week</t>
  </si>
  <si>
    <t>Biochemical in vitro activity assays</t>
  </si>
  <si>
    <t>7.1.1</t>
  </si>
  <si>
    <t>Biochemical assays using luminescence as a readout (i.e. ADP-Glo assays)</t>
  </si>
  <si>
    <t>384</t>
  </si>
  <si>
    <t>7.1.2</t>
  </si>
  <si>
    <t>Biochemical assays using fluorescence intensity as read-out</t>
  </si>
  <si>
    <t>7.1.3</t>
  </si>
  <si>
    <t>Biochemical assays using fluorescence polarization as read-out</t>
  </si>
  <si>
    <t>7.1.4</t>
  </si>
  <si>
    <t>Biochemical assays using TR-FRET as read-out</t>
  </si>
  <si>
    <t>7.1.5</t>
  </si>
  <si>
    <t>Biochemical assays using MS as read-out</t>
  </si>
  <si>
    <t>7.1.6</t>
  </si>
  <si>
    <t>Biochemical assays using other detection technologies (please list the technologies used in the last column)</t>
  </si>
  <si>
    <r>
      <t>Cellular in vitro activity assays</t>
    </r>
    <r>
      <rPr>
        <sz val="9"/>
        <color theme="1"/>
        <rFont val="Arial"/>
        <family val="2"/>
      </rPr>
      <t xml:space="preserve"> (Total of cellular assays listed below)</t>
    </r>
  </si>
  <si>
    <t>7.2.1</t>
  </si>
  <si>
    <t>Cellular assays using fluoresence as read-out (e.g. RGA or BRET</t>
  </si>
  <si>
    <t>96</t>
  </si>
  <si>
    <t>7.2.2</t>
  </si>
  <si>
    <t>Cellular assays using TR-FRET as read-out (e.g. HTRF after cell lysis)</t>
  </si>
  <si>
    <t>7.2.3</t>
  </si>
  <si>
    <t>Cellular assays using radioactivity as read-out</t>
  </si>
  <si>
    <t>7.2.4</t>
  </si>
  <si>
    <t>Cellular assays using MS as read-out</t>
  </si>
  <si>
    <t>7.2.5</t>
  </si>
  <si>
    <t>Cellular assays using whole plate fluoresence imaging (e.g. FLIPR) as read-out</t>
  </si>
  <si>
    <t>7.2.6</t>
  </si>
  <si>
    <t>Cellular assays using luminescence as read-out (e.g. Nanobit, HiBit, NanoLuc reporter; ALPHA-screen)</t>
  </si>
  <si>
    <t>7.2.7</t>
  </si>
  <si>
    <t>Cellular assays using high content imaging as a read-out (microscopy with immunostaining or fluorescence markers)</t>
  </si>
  <si>
    <t>7.2.8</t>
  </si>
  <si>
    <t>Cellular assays using High throughput Flow Cytometry as read-out</t>
  </si>
  <si>
    <t>7.2.9</t>
  </si>
  <si>
    <t>7.2.10</t>
  </si>
  <si>
    <t>Cellular assays using Patch clamp or automated patch clamp readouts</t>
  </si>
  <si>
    <t>7.2.11</t>
  </si>
  <si>
    <t>Cellular assays using other detection technologies (please list the technologies used in the last column)</t>
  </si>
  <si>
    <t>List equipment used (short answer)</t>
  </si>
  <si>
    <t xml:space="preserve">Biacore T200; Jess; Bravo; Incucyte; Li-Cor; Nano temper; Cell sorter; Envision, Cytoflex, cytation 5; Victor, JESS, BIO-RAD RT-qPCR </t>
  </si>
  <si>
    <t>Give further details on assay technologies and read-out used with examples of protocols (short answer)</t>
  </si>
  <si>
    <t>Attach supporting document if any under section 8.3 in Ariba only</t>
  </si>
  <si>
    <t>Please provide evidence, references, examples, as well as your SOPs and protocols to substantiate the information provided in your answers above. Attach one file, less than 1Mb if needed</t>
  </si>
  <si>
    <t>Attach supporting document if any under section 8.4 in Ariba only</t>
  </si>
  <si>
    <t>Please provide two Subject Matter Expert (SME) references from your existing clients who we can speak to about their experience while working with you in the above area of work?</t>
  </si>
  <si>
    <t>S. No.</t>
  </si>
  <si>
    <t>Workpackages assay adaption</t>
  </si>
  <si>
    <t>Established the assays described below to 384-well format so you can routinely test &gt;50 compounds per run and execute &gt; two runs per week</t>
  </si>
  <si>
    <t>Assay name</t>
  </si>
  <si>
    <t>Assay materials</t>
  </si>
  <si>
    <t>Assay protocol</t>
  </si>
  <si>
    <t>Total cost (in USD) 
Labour rate*labour hours + Material Cost + Overheads</t>
  </si>
  <si>
    <t>Estimated timelines need to establish assay
(number of days)</t>
  </si>
  <si>
    <t>Labour rate</t>
  </si>
  <si>
    <t>Labour hours</t>
  </si>
  <si>
    <t>Material cost (USD)</t>
  </si>
  <si>
    <t>Overheads (USD)</t>
  </si>
  <si>
    <t>Example 1: Enzymatic biochemical assay (generic example)</t>
  </si>
  <si>
    <t>Compound plate format: 384-well acoustic dispensing compatible DMSO compound plates (microliter range) with 16 compounds n = 2 with 11-point dilution series (0.3 dilution factor; 30 uM top concentration, two columns for controls) - it must be possible to adapt to other plate lay-outs (e.g. 7-,8-, 10- or 16-point dilutions with N = 1 to 3) depending on project needs; produce compound assay ready plate with an acoustic dispenser in the nanoliter range (Propose alternatives if you do not have acoustic dispensing technology).  
Provided by Novartis: enzyme stocks and substrate stocks; 
All other reagents and materials to be acquire by the CRO</t>
  </si>
  <si>
    <t>Novartis protocol (to be adapted by CRO to 384 well): 1) add enzyme to compound assay ready plates (AC columns contains no enzyme - buffer only; NC, contains DMSO instead of compound); 2) incubate at rt for 10 min; 3) add substrate; 4) incubate at rt for 60 min; 5) read on plate reader (?ex = 570/?em 590) for fluorescence (Reszaurin protocol)</t>
  </si>
  <si>
    <t>Example 2: TR-FRET biochemical assay (generic example)</t>
  </si>
  <si>
    <t>Compound plate format: as example 1.
Provided by Novartis: Protein,bespoke probes if needed and reference compounds
All other reagents and materials to be acquire by the CRO</t>
  </si>
  <si>
    <t>Novartis protocol (to be adapted by CRO to 384 well): 1) ) add protein to compound assay ready plates; 2) Add 1.5ul Eu-Streptavidin probe 3) Spin plate(s) 2 min, 300g, 4) Incubate 30min at RT in the dark 5) add second probe 1.5ul X (Cy5 labelled cpdX) to each well [total assay volume is 4.545ul]; 6) Spin plate(s) 2 min, 300g.  7) Incubate 60min at RT in the dark 8) read on plate reader</t>
  </si>
  <si>
    <t>Example 3: Biochemical ATPase enzyme assay</t>
  </si>
  <si>
    <t>Compound plate format: 384-well compound plates with 22 compounds n = 1 with 16-point dilution series (0.3 dilution factor; 30 uM top concentration, two columns for controls). Prepare assay ready plates: compounds acoustic dispense (22uM final conc.). Active control is 22uM final concentration of control inhibitor, .
Provided by Novartis: purified ATPase enzyme.
All other reagents and materials to be acquire by the CRO.</t>
  </si>
  <si>
    <t>Novartis protocol. Add 5uL of 25nM enzyme to all wells. Add 5uL of 6uM ATP to all wells. Incubate 60min at 37C. Add 5uL of Quench reagent (Promega, ADPGlo kit V9102). Incubate 40min at r.t. Add 5uL of ADPGlo detection (Promega, ADPGlo kit V9102). Read luminescence on Pherastar (or equivalent reader).</t>
  </si>
  <si>
    <t>Example 4: Cellular RGA assay (generic example)</t>
  </si>
  <si>
    <t>Compound plate format: as example 1 for DMSO-compound plate; transfer compounds to cell plates with acoustic dispenser. (Propose alternatives if you do not have acoustic dispensing technology). 
Provided by Novartis: cells as frozen stocks and “control” as stock solution 
All other reagents and materials to be acquire by the CRO incl. the detection reagent: GLucGlo from Thermo Fisher (Guassia Luciferase Glo assay kit), or Nano-Glo luciferase system from Promega.</t>
  </si>
  <si>
    <t xml:space="preserve">Novartis protocol (to be adapted by CRO to 384 well): 1) Add cells to empty plates (2k / well); 2) incubate overnight 37 ◦C/5% CO2, &gt;95% humidity; 3) add compounds, add controls (AC: DMSO only; NC: “control ASO”; 4) incubate for 48 h at 37 ◦C/5% CO2, &gt;95% humidity; 5) add detection reagent (e.g. GLuc Glo); 6) read on luminescence plate reader </t>
  </si>
  <si>
    <t>Example 5: Cellular cAMP assay</t>
  </si>
  <si>
    <t>Compound plate format: 384-well compound plates with 22 compounds n = 1 with 16-point dilution series (1: 316 dilution factor; 25uM Initial concentration, two columns for controls; Active control is 100nM final concentration of Forskolin. Produce compound assay ready plate with an acoustic dispenser in the nanoliter range (Propose alternatives if you do not have acoustic dispensing technology). 
Provided by Novartis: HEK394T cells overexpressing the receptor.
All other materials to be acquire by the CRO incl. PerkinElmer cAMP detection kits, forskolin</t>
  </si>
  <si>
    <t>Novartis protocol (to be adapted by CRO): Add 20uL of cells at diluted to 2.5E5 cells/mL in media, 5,000 cells/well (DMEM, 10% FBS-heat inactivated, 5% Pen Strep L-Glutamine).  Add 5uL of 2.5mM IBMX all wells (500uM final). Incubate at 37C for 45min. Prepare cAMP HTRF mix (PerkinElmer, #62AM4PEJ – cAMP Gs dynamic kit) cAMP-d2 and cAMP-AB-Eu cryptate diluted in 1:20 lysis buffer. Add 12.5 uL each of D2 And Eu detection reagents to well of assay plate and incubate 60min at r.t. Read on Pherastar (or equivalent reader) HTRF protocol.</t>
  </si>
  <si>
    <t>Further implementation details (short answer)</t>
  </si>
  <si>
    <t xml:space="preserve">The prices are assuming compounds are received at in-vitro biology as powder stocks or 10 mM stocks in DMSO, and compound dilutions, assay plating, read out and analysis is performed by in-vitro biology. Data can be analyzed either in-house using graph pad prism or any application that Novartis uses. If the assays are run for longer duration, bulk packs of reagents can be procured to save on cost and time of procurements. </t>
  </si>
  <si>
    <t>Alternative pricing models - feel free to propose options (short answer / attachment)</t>
  </si>
  <si>
    <t xml:space="preserve">Other options of pricing model will be billing Novartis as pass through costs for all the reagents and just charge for FTE. For any of the key reagents if the reagent procurement costs are high for Asia (India), Novartis can help procuring at reasonable price and ship them to APSL to save cost and time. </t>
  </si>
  <si>
    <t>Workpackages Assay Execution</t>
  </si>
  <si>
    <t>Workpackages assay execution</t>
  </si>
  <si>
    <t>Assuming the assays described above have been established successfully by the CRO to test &gt;50 compounds per run and execute at least two runs per week</t>
  </si>
  <si>
    <t>We expect the CRO to ensure reproducible and robust assay data week per week. Therefore corresponding QC-metrics need to applied: e.g. Minimum Significant Ratio (MSR) is a statistical parameter that measures the reproducibility of potency measurements and can be calculated from replicates of a reference compound run each week in the assay. The MSR is defined as the smallest ratio between the potencies of two compounds that is statistically significant (at 95% confidence limit) and is calculated as MSR = 102√2s, where s is the standard deviation of a log potency for one compound. See references: Minimum Significant Ratio – A Statistic to Assess Assay Variability - Assay Guidance Manual - NCBI Bookshelf (nih.gov); Eastwood BJ, Farmen MW, Iversen PW, Craft TJ, Smallwood JK, Garbison KE, Delapp N, Smith GF. The Minimum Significant Ratio: A Statistical Parameter to Characterize the Reproducibility of Potency Estimates from Concentration-Response Assays and Estimation by Replicate-Experiment Studies. J Biomol Screen. 2006;11:253–261.</t>
  </si>
  <si>
    <t>The expected turnaround time from compound submission* to data upload** should be 5 working days or less. Exception need to be highlighted and explained.</t>
  </si>
  <si>
    <t>*submission of synthesised, purified compound in vial for dissolution and plating.</t>
  </si>
  <si>
    <t>**upload of data in agreed file and report formats</t>
  </si>
  <si>
    <r>
      <t>Option 1 - total cost per compound</t>
    </r>
    <r>
      <rPr>
        <sz val="9"/>
        <color theme="1"/>
        <rFont val="Arial"/>
        <family val="2"/>
      </rPr>
      <t xml:space="preserve"> (incl. compound plate preparation, reagents and materials, data processing, QC, trouble-shooting, team management and communication with Novartis)</t>
    </r>
  </si>
  <si>
    <r>
      <t>Option 2 - total FTE needs</t>
    </r>
    <r>
      <rPr>
        <sz val="9"/>
        <color theme="1"/>
        <rFont val="Arial"/>
        <family val="2"/>
      </rPr>
      <t xml:space="preserve"> (incl. compound plate preparation, reagents and materials, data processing, QC, trouble-shooting, team management and communication with Novartis)</t>
    </r>
  </si>
  <si>
    <t>Option 1 - Total cost per run per compound (please specify further details and also volume discounts in the "additional information" column)</t>
  </si>
  <si>
    <t>Volume Discount</t>
  </si>
  <si>
    <r>
      <t xml:space="preserve">Option 2 - Total FTE requirement </t>
    </r>
    <r>
      <rPr>
        <sz val="9"/>
        <color theme="1"/>
        <rFont val="Arial"/>
        <family val="2"/>
      </rPr>
      <t>(please specify further details like synergies with multiple assays "additional information" column)</t>
    </r>
  </si>
  <si>
    <t>Additional Information</t>
  </si>
  <si>
    <t>2..1.1</t>
  </si>
  <si>
    <t>Test 48 or less compounds in one run per week</t>
  </si>
  <si>
    <t xml:space="preserve">Number of FTEs needed to run this assay once per  week with ~48 compounds </t>
  </si>
  <si>
    <t>2.1.2</t>
  </si>
  <si>
    <t>2.1.3</t>
  </si>
  <si>
    <t>2.1.4</t>
  </si>
  <si>
    <t>2.1.5</t>
  </si>
  <si>
    <t>2.1.6</t>
  </si>
  <si>
    <t>Please add additional information related to the pricing as you see fit (short answer / attachment)</t>
  </si>
  <si>
    <t>For TR-FRET pricing includes APSL procuring the probes</t>
  </si>
  <si>
    <t>APSL do not have acoustic dispenser. 48 compounds or less can be routinely performed manually, If more compounds are received we have Bravo to automate the dilutions and plating. BRAVO will be used for automation. If needed, APSL can also procure acoustic dispenser on need basis based on the business need.</t>
  </si>
  <si>
    <t>2.1.7</t>
  </si>
  <si>
    <t>Please propose alternative pricing and collaboration models as you see fit (short answer / attachment)</t>
  </si>
  <si>
    <t>Being proposed FTE mode, volume discount is not applicable here. This can be discussed further based on mutual agreement</t>
  </si>
  <si>
    <t>Price for protein services</t>
  </si>
  <si>
    <t>S. No</t>
  </si>
  <si>
    <t>Expression system</t>
  </si>
  <si>
    <t>Price for 5L expression scale
(USD)</t>
  </si>
  <si>
    <t>TAT in weeks</t>
  </si>
  <si>
    <t>E.Coli</t>
  </si>
  <si>
    <t>Bac to bac</t>
  </si>
  <si>
    <t>Flash-bac</t>
  </si>
  <si>
    <t>Mammalian</t>
  </si>
  <si>
    <t>Yes, data are documented in physical lab note books with dates and experiemental details. These are signed off by two team members, including the team lead. Internally, we are also in the process of developing BOT (IT)-based QC anaysis of the data. Our DMPK team has already adapted this process. Additionally, data is generated, QC'ed and circulated with clients in power point/excel formats. Raw data in the excel sheet format is stored electronically and uploaded to the sharepoint site  All the experimental data is captured in paper lab note books or eLN based on client's requirements, both these options are available with us. Instrument-gerenated raw data is backed up frequently.</t>
  </si>
  <si>
    <t>Yes, ~4000 sq feet lab space is currently dedicated for in vitro work. Additionally we are in the process of expanding the lab space by approximately 3000 sq ft. Laboratory space is delinated into cell culture, assay, molecuar biology and protein labs. The labs are designed per safety guidelines.</t>
  </si>
  <si>
    <t>Yes, we have the necessary lab equipments as listed below. Biacore T200; Jess (Protein simple); Bravo low volume mixer and dispenser; Incucyte; Li-Cor (in-cell western and western blotting); Nano temper; cell sorter - FACS; Envision reader, Cytoflex Flow reader, Cytation 5; Victor plate reader, BIO-RAD RT-qPCR, plate washer, ChemiDoc imager.
Assay detection technologies - Fl. Intensity, FRET, TR-FRET, FP, HTRF, Flow cytometry, Luminscence, AlphaLISA, HiBiT, NanoBiT, Cytation 5, Incucyte, Nano-BRET, SPR, ELISA, In cell Western, Reporter gene Assays. For liquid handling we have BRAVO and plate washers. On need basis acoustic dispensers can be procured for liquid handling.</t>
  </si>
  <si>
    <t xml:space="preserve">Yes, we routinely analyze and process in vitro assay data. For example, for inhibitor screening studies, the assay plate contains DMSO control (max- no compound, min-no protein), negative control (substrate alone/ buffer/media) and the compound treated wells. The plate performance parameters include (Z Factor &gt;0.5 ; % CV &lt;5-10 % and S/N &gt; 3-5. A known inhibitor is usually run in the same plate which acts as a positive control. Average values of max and min are taken. Percentage inhibition is calculated. IC50 is calculated using 4 Parameter Logistic Model in XLfit software. An excel template is used for analysis which contains the consolidtaed information of plate map, protocol, raw data, analysis and graphs. Data is reviewed and QC'ed by two different scientists, including the team lead, before being sent to the client. If positive control falls in the range of defined IC50, then we conclude that the plate has passed the QC. </t>
  </si>
  <si>
    <t>Typically we use APSL global sharepoint for uploading data. Client will have access to these folders and regular two way communications are performed. In specific cases, because of the customer requirements, Google Drives are used for data sharing.</t>
  </si>
  <si>
    <t>Yes,  we have the capability and capacity to generate engineered cell lines and protein reagents . This is performed for many clients both in FFS and IDD formats. More specifics are given below: 
- Over-expression cell lines (Stable Pools and Monoclones generated)  - Lentivirus/Retrovirus mediated gene delivery, Stable transfection using Electroporation and Lipofectamine mediated gene delivery
- Knock-down (KD) cell lines using siRNA/shRNA technology
- Knock-out and Knock-In cell lines - CRISPR/Cas9 mediated gene editing
- Inducible cell line generation - Tet/Cumate Inducible System
- Reporter cell lines - GFP/RFP/Luciferase cell lines (For more details  on specific case studies, please refer to Aurigene_Invitro_Cell line development.pdf slides)</t>
  </si>
  <si>
    <t xml:space="preserve">Yes we have extensive experience in protein expression and purification. For more specific details, please refer to the slide deck: Aurigene_Invitro_Protein sciences and crystallography.pdf. </t>
  </si>
  <si>
    <t>Yes, we routinely perform E.coli based protein expression. We can scale from 2 to 5 l shake flask to 10 L bio-reactor scale . For more details please refer to Aurigene_Invitro_Protein sciences and crystallography.pdf - Slides 11 and 13.</t>
  </si>
  <si>
    <t>Yes, we have performed protein expression in mammalian and CHO cell lines. Purification Scale is from 0.5 - 2 L shake flask and upto 25 L wave bag bioreactor. For further details please refer, toAurigene_Invitro_Protein sciences and crystallography.pdf - slides 15 and 16</t>
  </si>
  <si>
    <t>Yes, we have signficant experience with baculovirus based protein expression. We have successfully scaled up from 0.5 to 2 L shake flask upto 25 L wave bag bioreactor. For further details please refer to Aurigene_Invitro_Protein sciences and crystallography.pdf - slides 12 and 14.</t>
  </si>
  <si>
    <t>Yes, gene synthesis and sequencing are done at a third party site. Samples are shipped to third party sites under CDA.</t>
  </si>
  <si>
    <t>Protein crystallization is carried out manually in-house and the data collection is performed at a third party site. The determination and analysis of crystal structures is performed in-house. For details, please refer to Aurigene_Invitro_Protein sciences and crystallography.pdf -  slides 4-10.</t>
  </si>
  <si>
    <t>Yes; typically detailed protocols and reagents are procured from the client, and bridging studies are conducted at APSL to see the traslatability between both sites. Based on mutual discussions, fine tuning of the assay is performed, followed by assay validation using known/agreed-upon standards over multiple days by multiple operators to understand the assay robustness and reproducibility. Batch numbers of key reagents are captured as this is a critical parameter for assay consistency and reproducibility. For qualification of assay performance, following parameters are adapted- signal Window &gt; 3, Z' &gt; 0.5, percent cv - &lt;5-10 % (please refer to slide 10 of Aurigene_Invitro_Biochemistry.pdf for an example on assay adaption)</t>
  </si>
  <si>
    <t xml:space="preserve">Currently, we do not have any predesigned IT application for assay development. However, we are in the process of developing an excel-based application wherein we would feed the instrument raw data in pre-defined plate templates designed in excel sheets. Then a BOT will analyze the data, create graphs using GraphPad Prism/excel fit and extract key parameters to populate the output in different pre-defined tabs. These excel sheets will be shared with the client.               Alternatively, for specific clients, we will perform experiments in pre-defined plate maps and use client-designed excel templates, wherein the instrument-generated raw data and key parameters will be auto-populated. Per the client's recommendation, we would send the data in these formats.                             We are also flexible in adapting to any client specific IT applications for assay development. For graphical analysis and visualization, we use Graphpad prism, Excel fit and key data parameters such as IC50, EC50, CC50 and Hill slope.  </t>
  </si>
  <si>
    <t>Yes, we have a standardized processs. For on-boarding new in-vitro asays, a checkerboard experiment for enzyme and substrate concentration and buffer optimization is performed in a step-wise fashion, with a signal-to-noise ratio maintained at &gt;3. Assay miniaturization is implemented, and assay consistency and robustness is tested over multiple days, and assessed for inter-operator variability. Controls in the assay are placed at different locations in the plate to minimize plate effects and increase confidence in the assay performance across the plate. Validation with standard tool compounds is performed.                             For cell based assays, cell number optimization and many of the above validation parameters are implemented. Assay performance parameters such as Z' &gt; 0.5; CV &lt; 5% are assessed to ensure a successful assay development.</t>
  </si>
  <si>
    <t>All the details are shared in attachedment (Aurigene_Invitro_Biochemistry.pdf for biochemical assays and Aurigene_Invitro_Cell based assays.pdf for cell based assays)</t>
  </si>
  <si>
    <t>Yes. Each quantitiave experiment would contain an excel file having the consolitaed information of plate map, protocol, raw data, analysis and relevant graphs. Files can then be uploaded to the client server based on specific requirements. Additionally, if assay modifications are needed, our team will discuss the proposed changes with the client to ensure mutual agreement. In addition to excel sheets, we do share the data in powerpoints formate and complete report in word format</t>
  </si>
  <si>
    <t xml:space="preserve">1. Erik Goka, Revere Pharmaceuticals, Email: erik@reverepharma.com; 2. Vivek Vishnudas, BPG Bio, Email: vivek.vishnudas@bpgbio.com  </t>
  </si>
  <si>
    <t xml:space="preserve">$68 per additional plate to be screened
</t>
  </si>
  <si>
    <t>$68 per additional plate to be screened</t>
  </si>
  <si>
    <t xml:space="preserve">- Assay can be run during the incubation days of cell based assays.   - The cost per compound is assuming atleast receipt of atleast one full plate of compounds per run. Price is applicable considering the allotment of compounds for a single plate in one time. Volume discount is applicable only if the number of compounds are more than per plate capacity.
</t>
  </si>
  <si>
    <t xml:space="preserve">- Assay can be run during the incubation days of cell based assays.   - The cost per compound is assuming atleast receipt of atleast one full plate of compounds per run. Price is applicable considering the allotment of compounds for a single plate in one time. Volume discount is applicable only if the number of compounds are more than per plate capacity.        
</t>
  </si>
  <si>
    <t xml:space="preserve">- Assay can be run during the incubation days of cell based assays.   - The cost per compound is assuming atleast receipt of atleast one full plate of compounds per run.   Price is applicable considering the allotment of compounds for a single plate in one time. Volume discount is applicable only if the number of compounds are more than per plate capacity.        
</t>
  </si>
  <si>
    <t>- These are planned in the week from Mon-Fri as incubations would be needed. Biochemical assays will be planned during these incubations.     - Biochemical assays cannot be clubbed if cell/compound incubations are done during weekends
- It is expected to ship min of full plate of compounds for sreening.  Price is applicable considering the allotment of compounds for a single plate in one time. Volume discount is applicable only if the number of compounds are more than per plate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</si>
</sst>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b/>
      <sz val="9"/>
      <color indexed="12"/>
      <name val="Arial"/>
      <family val="2"/>
    </font>
    <font>
      <sz val="9"/>
      <color theme="1"/>
      <name val="Arial"/>
      <family val="2"/>
    </font>
    <font>
      <b/>
      <sz val="9"/>
      <color indexed="8"/>
      <name val="Arial"/>
      <family val="2"/>
    </font>
    <font>
      <sz val="9"/>
      <color indexed="8"/>
      <name val="Arial"/>
      <family val="2"/>
    </font>
    <font>
      <sz val="10"/>
      <color indexed="8"/>
      <name val="Arial"/>
      <family val="2"/>
    </font>
    <font>
      <sz val="9"/>
      <color rgb="FF000000"/>
      <name val="Arial"/>
      <family val="2"/>
    </font>
    <font>
      <b/>
      <sz val="9"/>
      <color theme="1"/>
      <name val="Arial"/>
      <family val="2"/>
    </font>
    <font>
      <sz val="10"/>
      <color theme="1"/>
      <name val="Arial"/>
      <family val="2"/>
      <charset val="1"/>
    </font>
    <font>
      <sz val="9"/>
      <color indexed="81"/>
      <name val="Tahoma"/>
      <family val="2"/>
    </font>
    <font>
      <b/>
      <sz val="9"/>
      <color rgb="FF000000"/>
      <name val="Arial"/>
      <family val="2"/>
    </font>
    <font>
      <b/>
      <sz val="9"/>
      <name val="Arial"/>
      <family val="2"/>
    </font>
    <font>
      <b/>
      <sz val="14"/>
      <name val="Arial"/>
      <family val="2"/>
    </font>
    <font>
      <sz val="10"/>
      <name val="Arial"/>
      <family val="2"/>
    </font>
    <font>
      <b/>
      <sz val="10"/>
      <name val="Arial"/>
      <family val="2"/>
    </font>
    <font>
      <b/>
      <u/>
      <sz val="10"/>
      <name val="Arial"/>
      <family val="2"/>
    </font>
    <font>
      <b/>
      <i/>
      <sz val="10"/>
      <name val="Arial"/>
      <family val="2"/>
    </font>
    <font>
      <b/>
      <sz val="10"/>
      <color indexed="12"/>
      <name val="Arial"/>
      <family val="2"/>
    </font>
    <font>
      <sz val="11"/>
      <color rgb="FF444444"/>
      <name val="Calibri"/>
      <family val="2"/>
      <charset val="1"/>
    </font>
  </fonts>
  <fills count="10">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3"/>
        <bgColor indexed="64"/>
      </patternFill>
    </fill>
    <fill>
      <patternFill patternType="solid">
        <fgColor theme="5"/>
        <bgColor indexed="64"/>
      </patternFill>
    </fill>
    <fill>
      <patternFill patternType="solid">
        <fgColor rgb="FFCCFF99"/>
        <bgColor indexed="64"/>
      </patternFill>
    </fill>
    <fill>
      <patternFill patternType="solid">
        <fgColor theme="0" tint="-0.14999847407452621"/>
        <bgColor indexed="64"/>
      </patternFill>
    </fill>
    <fill>
      <patternFill patternType="solid">
        <fgColor indexed="9"/>
        <bgColor indexed="64"/>
      </patternFill>
    </fill>
    <fill>
      <patternFill patternType="solid">
        <fgColor theme="2" tint="-9.9978637043366805E-2"/>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2">
    <xf numFmtId="0" fontId="0" fillId="0" borderId="0"/>
    <xf numFmtId="0" fontId="8" fillId="0" borderId="0"/>
  </cellStyleXfs>
  <cellXfs count="71">
    <xf numFmtId="0" fontId="0" fillId="0" borderId="0" xfId="0"/>
    <xf numFmtId="0" fontId="1" fillId="2" borderId="0" xfId="0" applyFont="1" applyFill="1" applyAlignment="1">
      <alignment horizontal="center" vertical="top"/>
    </xf>
    <xf numFmtId="0" fontId="1" fillId="2" borderId="0" xfId="0" applyFont="1" applyFill="1" applyAlignment="1">
      <alignment horizontal="center" vertical="top" wrapText="1"/>
    </xf>
    <xf numFmtId="0" fontId="2" fillId="0" borderId="0" xfId="0" applyFont="1" applyAlignment="1">
      <alignment vertical="top"/>
    </xf>
    <xf numFmtId="0" fontId="3" fillId="3" borderId="0" xfId="0" applyFont="1" applyFill="1" applyAlignment="1">
      <alignment horizontal="right" vertical="top" wrapText="1"/>
    </xf>
    <xf numFmtId="0" fontId="3" fillId="3" borderId="0" xfId="0" applyFont="1" applyFill="1" applyAlignment="1">
      <alignment horizontal="left" vertical="top" wrapText="1"/>
    </xf>
    <xf numFmtId="0" fontId="2" fillId="0" borderId="0" xfId="0" applyFont="1" applyAlignment="1">
      <alignment horizontal="right" vertical="top" wrapText="1"/>
    </xf>
    <xf numFmtId="0" fontId="2" fillId="0" borderId="0" xfId="0" applyFont="1" applyAlignment="1">
      <alignment vertical="top" wrapText="1"/>
    </xf>
    <xf numFmtId="49" fontId="4" fillId="4" borderId="1" xfId="0" applyNumberFormat="1" applyFont="1" applyFill="1" applyBorder="1" applyAlignment="1" applyProtection="1">
      <alignment horizontal="left" vertical="top" wrapText="1"/>
      <protection locked="0"/>
    </xf>
    <xf numFmtId="49" fontId="5" fillId="4" borderId="1" xfId="0" applyNumberFormat="1" applyFont="1" applyFill="1" applyBorder="1" applyAlignment="1" applyProtection="1">
      <alignment horizontal="left" vertical="top" wrapText="1"/>
      <protection locked="0"/>
    </xf>
    <xf numFmtId="0" fontId="2" fillId="0" borderId="0" xfId="0" quotePrefix="1" applyFont="1" applyAlignment="1">
      <alignment horizontal="right" vertical="top" wrapText="1" readingOrder="1"/>
    </xf>
    <xf numFmtId="0" fontId="2" fillId="0" borderId="0" xfId="0" quotePrefix="1" applyFont="1" applyAlignment="1">
      <alignment vertical="top" wrapText="1" readingOrder="1"/>
    </xf>
    <xf numFmtId="0" fontId="3" fillId="3" borderId="2" xfId="0" applyFont="1" applyFill="1" applyBorder="1" applyAlignment="1">
      <alignment horizontal="center" vertical="top" wrapText="1"/>
    </xf>
    <xf numFmtId="0" fontId="2" fillId="0" borderId="0" xfId="0" applyFont="1" applyAlignment="1">
      <alignment horizontal="right" vertical="top"/>
    </xf>
    <xf numFmtId="1" fontId="5" fillId="4" borderId="1" xfId="0" applyNumberFormat="1" applyFont="1" applyFill="1" applyBorder="1" applyAlignment="1" applyProtection="1">
      <alignment horizontal="left" vertical="top" wrapText="1"/>
      <protection locked="0"/>
    </xf>
    <xf numFmtId="1" fontId="5" fillId="5" borderId="0" xfId="0" applyNumberFormat="1" applyFont="1" applyFill="1" applyAlignment="1" applyProtection="1">
      <alignment horizontal="center" vertical="top" wrapText="1"/>
      <protection locked="0"/>
    </xf>
    <xf numFmtId="0" fontId="4" fillId="0" borderId="0" xfId="0" applyFont="1" applyAlignment="1">
      <alignment horizontal="left" vertical="top" wrapText="1"/>
    </xf>
    <xf numFmtId="0" fontId="6" fillId="6" borderId="2" xfId="0" applyFont="1" applyFill="1" applyBorder="1" applyAlignment="1">
      <alignment horizontal="left" vertical="top" wrapText="1"/>
    </xf>
    <xf numFmtId="0" fontId="7" fillId="0" borderId="0" xfId="0" applyFont="1" applyAlignment="1">
      <alignment horizontal="right" vertical="top"/>
    </xf>
    <xf numFmtId="0" fontId="7" fillId="0" borderId="0" xfId="0" applyFont="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left" vertical="top" wrapText="1"/>
    </xf>
    <xf numFmtId="0" fontId="2" fillId="0" borderId="0" xfId="1" applyFont="1" applyAlignment="1">
      <alignment horizontal="center" vertical="top"/>
    </xf>
    <xf numFmtId="0" fontId="2" fillId="0" borderId="0" xfId="1" applyFont="1" applyAlignment="1">
      <alignment vertical="top"/>
    </xf>
    <xf numFmtId="0" fontId="1" fillId="2" borderId="0" xfId="0" applyFont="1" applyFill="1" applyAlignment="1">
      <alignment vertical="top" wrapText="1"/>
    </xf>
    <xf numFmtId="0" fontId="2" fillId="0" borderId="0" xfId="0" applyFont="1" applyAlignment="1">
      <alignment horizontal="left" vertical="top"/>
    </xf>
    <xf numFmtId="0" fontId="7" fillId="7" borderId="2" xfId="0" applyFont="1" applyFill="1" applyBorder="1" applyAlignment="1">
      <alignment vertical="top"/>
    </xf>
    <xf numFmtId="0" fontId="7" fillId="7"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2" fillId="0" borderId="2" xfId="0" applyFont="1" applyBorder="1" applyAlignment="1">
      <alignment vertical="top"/>
    </xf>
    <xf numFmtId="0" fontId="2" fillId="0" borderId="2" xfId="0" applyFont="1" applyBorder="1" applyAlignment="1">
      <alignment horizontal="left" vertical="top" wrapText="1"/>
    </xf>
    <xf numFmtId="1" fontId="5" fillId="5" borderId="2" xfId="0" applyNumberFormat="1" applyFont="1" applyFill="1" applyBorder="1" applyAlignment="1" applyProtection="1">
      <alignment horizontal="left" vertical="top" wrapText="1"/>
      <protection locked="0"/>
    </xf>
    <xf numFmtId="1" fontId="5" fillId="4" borderId="2" xfId="0" applyNumberFormat="1" applyFont="1" applyFill="1" applyBorder="1" applyAlignment="1" applyProtection="1">
      <alignment horizontal="left" vertical="top" wrapText="1"/>
      <protection locked="0"/>
    </xf>
    <xf numFmtId="0" fontId="2" fillId="0" borderId="2" xfId="0" applyFont="1" applyBorder="1" applyAlignment="1">
      <alignment horizontal="left" vertical="top"/>
    </xf>
    <xf numFmtId="49" fontId="5" fillId="4" borderId="2" xfId="0" applyNumberFormat="1" applyFont="1" applyFill="1" applyBorder="1" applyAlignment="1" applyProtection="1">
      <alignment horizontal="left" vertical="top" wrapText="1"/>
      <protection locked="0"/>
    </xf>
    <xf numFmtId="0" fontId="2" fillId="0" borderId="0" xfId="0" applyFont="1" applyAlignment="1">
      <alignment horizontal="left" vertical="top" wrapText="1"/>
    </xf>
    <xf numFmtId="0" fontId="1" fillId="0" borderId="0" xfId="0" applyFont="1" applyAlignment="1">
      <alignment vertical="top" wrapText="1"/>
    </xf>
    <xf numFmtId="0" fontId="2" fillId="0" borderId="2" xfId="0" applyFont="1" applyBorder="1" applyAlignment="1">
      <alignment horizontal="right" vertical="top"/>
    </xf>
    <xf numFmtId="49" fontId="5" fillId="4" borderId="3" xfId="0" applyNumberFormat="1" applyFont="1" applyFill="1" applyBorder="1" applyAlignment="1" applyProtection="1">
      <alignment horizontal="left" vertical="top" wrapText="1"/>
      <protection locked="0"/>
    </xf>
    <xf numFmtId="49" fontId="5" fillId="4" borderId="4" xfId="0" applyNumberFormat="1" applyFont="1" applyFill="1" applyBorder="1" applyAlignment="1" applyProtection="1">
      <alignment horizontal="left" vertical="top" wrapText="1"/>
      <protection locked="0"/>
    </xf>
    <xf numFmtId="0" fontId="1" fillId="2" borderId="0" xfId="0" applyFont="1" applyFill="1" applyAlignment="1">
      <alignment horizontal="left" vertical="top"/>
    </xf>
    <xf numFmtId="0" fontId="11" fillId="7" borderId="2" xfId="0" applyFont="1" applyFill="1" applyBorder="1" applyAlignment="1">
      <alignment horizontal="center" vertical="top"/>
    </xf>
    <xf numFmtId="0" fontId="11" fillId="7" borderId="2" xfId="0" applyFont="1" applyFill="1" applyBorder="1" applyAlignment="1">
      <alignment horizontal="center" vertical="top" wrapText="1"/>
    </xf>
    <xf numFmtId="0" fontId="15" fillId="8" borderId="8" xfId="0" applyFont="1" applyFill="1" applyBorder="1" applyAlignment="1">
      <alignment horizontal="left" vertical="top" wrapText="1"/>
    </xf>
    <xf numFmtId="0" fontId="13" fillId="8" borderId="8" xfId="0" applyFont="1" applyFill="1" applyBorder="1" applyAlignment="1">
      <alignment horizontal="left" vertical="top" wrapText="1"/>
    </xf>
    <xf numFmtId="0" fontId="13" fillId="8" borderId="9" xfId="0" applyFont="1" applyFill="1" applyBorder="1" applyAlignment="1">
      <alignment horizontal="left" vertical="top" wrapText="1"/>
    </xf>
    <xf numFmtId="0" fontId="14" fillId="8" borderId="5" xfId="0" applyFont="1" applyFill="1" applyBorder="1" applyAlignment="1">
      <alignment horizontal="left" vertical="top" wrapText="1"/>
    </xf>
    <xf numFmtId="0" fontId="17" fillId="2" borderId="1" xfId="0" applyFont="1" applyFill="1" applyBorder="1" applyAlignment="1">
      <alignment horizontal="left" wrapText="1"/>
    </xf>
    <xf numFmtId="0" fontId="14" fillId="8" borderId="7" xfId="0" applyFont="1" applyFill="1" applyBorder="1" applyAlignment="1">
      <alignment horizontal="left" vertical="top" wrapText="1"/>
    </xf>
    <xf numFmtId="0" fontId="14" fillId="8" borderId="8" xfId="0" applyFont="1" applyFill="1" applyBorder="1" applyAlignment="1">
      <alignment horizontal="left" vertical="top" wrapText="1"/>
    </xf>
    <xf numFmtId="0" fontId="14" fillId="8" borderId="9" xfId="0" applyFont="1" applyFill="1" applyBorder="1" applyAlignment="1">
      <alignment horizontal="left" vertical="top" wrapText="1"/>
    </xf>
    <xf numFmtId="0" fontId="7" fillId="9" borderId="2" xfId="0" applyFont="1" applyFill="1" applyBorder="1" applyAlignment="1">
      <alignment horizontal="right" vertical="top"/>
    </xf>
    <xf numFmtId="0" fontId="14" fillId="8" borderId="0" xfId="0" applyFont="1" applyFill="1" applyAlignment="1">
      <alignment horizontal="left" vertical="top" wrapText="1"/>
    </xf>
    <xf numFmtId="0" fontId="5" fillId="8" borderId="2" xfId="0" applyFont="1" applyFill="1" applyBorder="1" applyAlignment="1">
      <alignment horizontal="left" vertical="top" wrapText="1"/>
    </xf>
    <xf numFmtId="1" fontId="5" fillId="5" borderId="2" xfId="0" applyNumberFormat="1" applyFont="1" applyFill="1" applyBorder="1" applyAlignment="1" applyProtection="1">
      <alignment horizontal="center" vertical="top" wrapText="1"/>
      <protection locked="0"/>
    </xf>
    <xf numFmtId="0" fontId="5" fillId="4" borderId="2" xfId="0" applyFont="1" applyFill="1" applyBorder="1" applyAlignment="1">
      <alignment horizontal="left" vertical="top" wrapText="1"/>
    </xf>
    <xf numFmtId="0" fontId="13" fillId="8" borderId="10" xfId="0" applyFont="1" applyFill="1" applyBorder="1" applyAlignment="1">
      <alignment vertical="top" wrapText="1"/>
    </xf>
    <xf numFmtId="0" fontId="13" fillId="8" borderId="11" xfId="0" applyFont="1" applyFill="1" applyBorder="1" applyAlignment="1">
      <alignment vertical="top" wrapText="1"/>
    </xf>
    <xf numFmtId="0" fontId="5" fillId="6" borderId="2" xfId="0" applyFont="1" applyFill="1" applyBorder="1" applyAlignment="1">
      <alignment horizontal="left" vertical="top" wrapText="1"/>
    </xf>
    <xf numFmtId="49" fontId="18" fillId="4" borderId="4" xfId="0" applyNumberFormat="1" applyFont="1" applyFill="1" applyBorder="1" applyAlignment="1" applyProtection="1">
      <alignment horizontal="left" vertical="top" wrapText="1"/>
      <protection locked="0"/>
    </xf>
    <xf numFmtId="0" fontId="13" fillId="0" borderId="8" xfId="0" applyFont="1" applyBorder="1" applyAlignment="1">
      <alignment vertical="top" wrapText="1"/>
    </xf>
    <xf numFmtId="0" fontId="12" fillId="0" borderId="5" xfId="0" applyFont="1" applyBorder="1" applyAlignment="1">
      <alignment vertical="center" wrapText="1"/>
    </xf>
    <xf numFmtId="0" fontId="13" fillId="0" borderId="6" xfId="0" applyFont="1" applyBorder="1" applyAlignment="1">
      <alignment vertical="center" wrapText="1"/>
    </xf>
    <xf numFmtId="0" fontId="13" fillId="0" borderId="7" xfId="0" applyFont="1" applyBorder="1" applyAlignment="1">
      <alignment vertical="center" wrapText="1"/>
    </xf>
    <xf numFmtId="0" fontId="14" fillId="0" borderId="5" xfId="0" applyFont="1" applyBorder="1" applyAlignment="1">
      <alignment vertical="center" wrapText="1"/>
    </xf>
    <xf numFmtId="0" fontId="14" fillId="0" borderId="6" xfId="0" applyFont="1" applyBorder="1" applyAlignment="1">
      <alignment vertical="center" wrapText="1"/>
    </xf>
    <xf numFmtId="0" fontId="14" fillId="0" borderId="7" xfId="0" applyFont="1" applyBorder="1" applyAlignment="1">
      <alignment vertical="center" wrapText="1"/>
    </xf>
    <xf numFmtId="0" fontId="15" fillId="8" borderId="5" xfId="0" applyFont="1" applyFill="1" applyBorder="1" applyAlignment="1">
      <alignment horizontal="left" vertical="top" wrapText="1"/>
    </xf>
    <xf numFmtId="0" fontId="15" fillId="8" borderId="6" xfId="0" applyFont="1" applyFill="1" applyBorder="1" applyAlignment="1">
      <alignment horizontal="left" vertical="top" wrapText="1"/>
    </xf>
    <xf numFmtId="0" fontId="15" fillId="8" borderId="7" xfId="0" applyFont="1" applyFill="1" applyBorder="1" applyAlignment="1">
      <alignment horizontal="left" vertical="top" wrapText="1"/>
    </xf>
    <xf numFmtId="0" fontId="13" fillId="0" borderId="0" xfId="0" applyFont="1" applyAlignment="1">
      <alignment vertical="top" wrapText="1"/>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3.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2.xml"/><Relationship Id="rId10" Type="http://schemas.openxmlformats.org/officeDocument/2006/relationships/externalLink" Target="externalLinks/externalLink7.xml"/><Relationship Id="rId19"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novartis.net/Users/desrasa2/AppData/Local/Microsoft/Windows/INetCache/Content.Outlook/UXVPMTB5/S356%20Excretion%20data%20in%20dog_IKG163%20summary%20report%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novartis.net/Inbox/PHCHBS-I21143/Projects/NS/NS98BET/D270%20(Mouse%20PK%20i.v%20only%20CFR082%20NS98BET)/Experimental/D270_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ATI\ATI9CGS\S222%20(In%20Vivo%20MetID%20(BDC)%20ATI9CGS%20KRE247one-in-one%20iv)\Report\MAP-CHBS-21-S222_V2_SPI_Draft_M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ibr.novartis.net\CHBS-DFS\LABDATA\inbox\PHCHBS-I21143\In%20Vivo%20Rodent%20Lab\Surgery_BS163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Q710_CPP%20Form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hare.novartis.net/Users/kamhoju1/AppData/Roaming/Microsoft/Excel/P463_RJT779_Blood%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hare.novartis.net/Users/suettma3/AppData/Local/Microsoft/Windows/INetCache/Content.Outlook/VICPA4T2/Example%20BDC%20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hare.novartis.net/sites/synlab/Shared%20Documents/x_internal_ORE_DBAS/S222_P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PK%20Sciences\MAP9MPE\R639%20(Dog%20NIBCo%20Methodo%20BGV630%20iv%20only)\Report\MAP9MPE_R639_SummaryReport.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ibr.novartis.net\chbs-dfs\LABDATA\inbox\PHCHBS-I21143\Projects\ONC\ONC9WRN\P463%20(Rat%20BDC%20RJT779%20iv%20only)\Report\ONC9WRN_P463_SummaryReport.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Cassette%202%20LO%20Validation%20PAS-2022-0015_CRL_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share.novartis.net/Inbox/PHCHBS-I21143/Projects/NS/NS99MG5%20(mGluR5)/A958%20(Rat%20PK%20mGluR5%20Cassette%203)/Experimental/MON_A95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ibr.novartis.net\CHBS-DFS\Users\gassmer1\AppData\Local\Microsoft\Windows\Temporary%20Internet%20Files\Content.Outlook\PN6IQYUG\Formulation%20descript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hare.novartis.net/sites/IntegratedResearch-PKSTaskForce/Shared%20Documents/General/San%20Diego%20Rat%20PK%20Compounds%20Jun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Summary"/>
      <sheetName val="USCA-S356 NVP-IKG163-NX-6"/>
      <sheetName val="Mass balance Summary"/>
      <sheetName val="Dog 1 Urinary Clearance"/>
      <sheetName val="Dog 2 Urinary Clearance"/>
      <sheetName val="Dog 3 Urinary Clearance"/>
      <sheetName val="Dose Administration"/>
      <sheetName val="Collection Times"/>
      <sheetName val="Clinical Observations"/>
      <sheetName val="Urine Weights"/>
      <sheetName val="Feces Weights"/>
      <sheetName val="Formulation Record"/>
      <sheetName val="Pharon Excretion "/>
      <sheetName val="PKS PK assessment"/>
      <sheetName val="Abbreviations"/>
      <sheetName val="Formulation"/>
      <sheetName val="Elements"/>
      <sheetName val="Dropdow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ompounds"/>
      <sheetName val="SampleList"/>
      <sheetName val="InitialWeight"/>
      <sheetName val="SamplePrep"/>
      <sheetName val="Analytics"/>
      <sheetName val="Chromatogram"/>
      <sheetName val="sciex meth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discovery PK study request"/>
      <sheetName val="Formulation"/>
      <sheetName val="Pharon for conc-time data"/>
      <sheetName val="Mass balance Analyte"/>
      <sheetName val="Mass balance Metabolite"/>
      <sheetName val="SamplingProtocol"/>
      <sheetName val="Initial Weight"/>
      <sheetName val="SamplePrep"/>
      <sheetName val="SequenceList"/>
      <sheetName val="Analytics"/>
      <sheetName val="Chromatogramm"/>
      <sheetName val="OVY230"/>
      <sheetName val="KRE247"/>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gery"/>
      <sheetName val="Hidden"/>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 Formulation_54700"/>
      <sheetName val="CPP Formulation_54701"/>
      <sheetName val="CPP Formulation_54702"/>
      <sheetName val="DropDownBox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alibration"/>
      <sheetName val="Samples"/>
      <sheetName val="ResultsPK"/>
      <sheetName val="PKCalculation"/>
      <sheetName val="ID_ConcCorr"/>
      <sheetName val="Hidden"/>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udy request"/>
      <sheetName val="Mass balance Summary"/>
      <sheetName val="Blood Summary"/>
      <sheetName val="PKS-GBL PK"/>
      <sheetName val="Pharon Excretion "/>
      <sheetName val="Abbreviation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Surgery"/>
      <sheetName val="FormulationProtocol"/>
      <sheetName val="SamplingProtocol"/>
      <sheetName val="Abbreviations"/>
    </sheetNames>
    <sheetDataSet>
      <sheetData sheetId="0" refreshError="1"/>
      <sheetData sheetId="1"/>
      <sheetData sheetId="2" refreshError="1"/>
      <sheetData sheetId="3" refreshError="1"/>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RawData"/>
      <sheetName val="TissueFluid"/>
      <sheetName val="PKS in vivo PKPD"/>
      <sheetName val="PKS PKPD assessment"/>
      <sheetName val="SamplePrep"/>
      <sheetName val="Analytics"/>
      <sheetName val="Abbreviations"/>
      <sheetName val="MAP9MPE_R639_SummaryReport"/>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History"/>
      <sheetName val="General"/>
      <sheetName val="Compounds"/>
      <sheetName val="ResultsPK"/>
      <sheetName val="data_Blood"/>
      <sheetName val="RawData"/>
      <sheetName val="Summary"/>
      <sheetName val="TissueFluid"/>
      <sheetName val="SamplePrep"/>
      <sheetName val="Analytics"/>
      <sheetName val="Abbreviations"/>
      <sheetName val="mass balanc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ummary"/>
      <sheetName val="Summary"/>
      <sheetName val="2022-0015 NVP-DRE863-NX-1"/>
      <sheetName val="Comp NVP-DRE863"/>
      <sheetName val="2022-0015 NVP-IVF244-NX-2"/>
      <sheetName val="Comp NVP-IVF244"/>
      <sheetName val="2022-0015 NVP-PFW951-NX-2"/>
      <sheetName val="Comp NVP-PFW951"/>
      <sheetName val="2022-0015 NVP-QKG317-NX-9"/>
      <sheetName val="Comp NVP-QKG317"/>
      <sheetName val="2022-0015 NVP-RYI960-NX-1"/>
      <sheetName val="Comp NVP-RYI960"/>
      <sheetName val="New discovery PK study request"/>
      <sheetName val="Figures"/>
      <sheetName val="Pharon for conc-time data"/>
      <sheetName val="Recovery_Matrix-Vehicle Effects"/>
      <sheetName val="Dose Administration"/>
      <sheetName val="Collection Times"/>
      <sheetName val="Clinical Observations"/>
      <sheetName val="SamplePrep"/>
      <sheetName val="Initial Weight"/>
      <sheetName val="Analytics"/>
      <sheetName val="Chromatogram"/>
      <sheetName val="export__NVP-RYI960-NX-1"/>
      <sheetName val="export__NVP-PFW951-NX-2"/>
      <sheetName val="export__NVP-IVF244-NX-2"/>
      <sheetName val="export__NVP-DRE863-NX-1"/>
      <sheetName val="export__NVP-QKG317-N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xp_Plan"/>
      <sheetName val="Samples"/>
      <sheetName val="EinwAnalytik"/>
      <sheetName val="Compounds"/>
      <sheetName val="Ionsheet"/>
      <sheetName val="MSAnalytics"/>
      <sheetName val="MSMSAnalytics (Quattro)"/>
      <sheetName val="MSMSAnalytics"/>
      <sheetName val="Chromatogram"/>
      <sheetName val="Extraction"/>
      <sheetName val="SamplePrepMethods"/>
      <sheetName val="Commen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spension Scoring system"/>
      <sheetName val="p.o. Formulation"/>
      <sheetName val="Sheet1"/>
      <sheetName val="Sheet4"/>
    </sheetNames>
    <sheetDataSet>
      <sheetData sheetId="0"/>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NF cpds"/>
      <sheetName val="CmpdTables"/>
      <sheetName val="Structures"/>
      <sheetName val="Pharon PK AUR"/>
      <sheetName val="Elements"/>
      <sheetName val="San Diego Rat PK Compounds Jun2"/>
    </sheetNames>
    <definedNames>
      <definedName name="Strain" refersTo="#REF!"/>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6"/>
  <sheetViews>
    <sheetView showGridLines="0" zoomScale="90" zoomScaleNormal="90" workbookViewId="0">
      <selection activeCell="C18" sqref="C18"/>
    </sheetView>
  </sheetViews>
  <sheetFormatPr defaultRowHeight="12.75" x14ac:dyDescent="0.2"/>
  <cols>
    <col min="1" max="1" width="2.7109375" customWidth="1"/>
    <col min="2" max="2" width="4" customWidth="1"/>
    <col min="3" max="3" width="11.42578125" customWidth="1"/>
    <col min="4" max="4" width="3" customWidth="1"/>
    <col min="5" max="5" width="88.42578125" customWidth="1"/>
    <col min="256" max="256" width="2.7109375" customWidth="1"/>
    <col min="257" max="257" width="5.42578125" customWidth="1"/>
    <col min="258" max="258" width="4" customWidth="1"/>
    <col min="259" max="259" width="11.42578125" customWidth="1"/>
    <col min="260" max="260" width="3" customWidth="1"/>
    <col min="261" max="261" width="88.42578125" customWidth="1"/>
    <col min="512" max="512" width="2.7109375" customWidth="1"/>
    <col min="513" max="513" width="5.42578125" customWidth="1"/>
    <col min="514" max="514" width="4" customWidth="1"/>
    <col min="515" max="515" width="11.42578125" customWidth="1"/>
    <col min="516" max="516" width="3" customWidth="1"/>
    <col min="517" max="517" width="88.42578125" customWidth="1"/>
    <col min="768" max="768" width="2.7109375" customWidth="1"/>
    <col min="769" max="769" width="5.42578125" customWidth="1"/>
    <col min="770" max="770" width="4" customWidth="1"/>
    <col min="771" max="771" width="11.42578125" customWidth="1"/>
    <col min="772" max="772" width="3" customWidth="1"/>
    <col min="773" max="773" width="88.42578125" customWidth="1"/>
    <col min="1024" max="1024" width="2.7109375" customWidth="1"/>
    <col min="1025" max="1025" width="5.42578125" customWidth="1"/>
    <col min="1026" max="1026" width="4" customWidth="1"/>
    <col min="1027" max="1027" width="11.42578125" customWidth="1"/>
    <col min="1028" max="1028" width="3" customWidth="1"/>
    <col min="1029" max="1029" width="88.42578125" customWidth="1"/>
    <col min="1280" max="1280" width="2.7109375" customWidth="1"/>
    <col min="1281" max="1281" width="5.42578125" customWidth="1"/>
    <col min="1282" max="1282" width="4" customWidth="1"/>
    <col min="1283" max="1283" width="11.42578125" customWidth="1"/>
    <col min="1284" max="1284" width="3" customWidth="1"/>
    <col min="1285" max="1285" width="88.42578125" customWidth="1"/>
    <col min="1536" max="1536" width="2.7109375" customWidth="1"/>
    <col min="1537" max="1537" width="5.42578125" customWidth="1"/>
    <col min="1538" max="1538" width="4" customWidth="1"/>
    <col min="1539" max="1539" width="11.42578125" customWidth="1"/>
    <col min="1540" max="1540" width="3" customWidth="1"/>
    <col min="1541" max="1541" width="88.42578125" customWidth="1"/>
    <col min="1792" max="1792" width="2.7109375" customWidth="1"/>
    <col min="1793" max="1793" width="5.42578125" customWidth="1"/>
    <col min="1794" max="1794" width="4" customWidth="1"/>
    <col min="1795" max="1795" width="11.42578125" customWidth="1"/>
    <col min="1796" max="1796" width="3" customWidth="1"/>
    <col min="1797" max="1797" width="88.42578125" customWidth="1"/>
    <col min="2048" max="2048" width="2.7109375" customWidth="1"/>
    <col min="2049" max="2049" width="5.42578125" customWidth="1"/>
    <col min="2050" max="2050" width="4" customWidth="1"/>
    <col min="2051" max="2051" width="11.42578125" customWidth="1"/>
    <col min="2052" max="2052" width="3" customWidth="1"/>
    <col min="2053" max="2053" width="88.42578125" customWidth="1"/>
    <col min="2304" max="2304" width="2.7109375" customWidth="1"/>
    <col min="2305" max="2305" width="5.42578125" customWidth="1"/>
    <col min="2306" max="2306" width="4" customWidth="1"/>
    <col min="2307" max="2307" width="11.42578125" customWidth="1"/>
    <col min="2308" max="2308" width="3" customWidth="1"/>
    <col min="2309" max="2309" width="88.42578125" customWidth="1"/>
    <col min="2560" max="2560" width="2.7109375" customWidth="1"/>
    <col min="2561" max="2561" width="5.42578125" customWidth="1"/>
    <col min="2562" max="2562" width="4" customWidth="1"/>
    <col min="2563" max="2563" width="11.42578125" customWidth="1"/>
    <col min="2564" max="2564" width="3" customWidth="1"/>
    <col min="2565" max="2565" width="88.42578125" customWidth="1"/>
    <col min="2816" max="2816" width="2.7109375" customWidth="1"/>
    <col min="2817" max="2817" width="5.42578125" customWidth="1"/>
    <col min="2818" max="2818" width="4" customWidth="1"/>
    <col min="2819" max="2819" width="11.42578125" customWidth="1"/>
    <col min="2820" max="2820" width="3" customWidth="1"/>
    <col min="2821" max="2821" width="88.42578125" customWidth="1"/>
    <col min="3072" max="3072" width="2.7109375" customWidth="1"/>
    <col min="3073" max="3073" width="5.42578125" customWidth="1"/>
    <col min="3074" max="3074" width="4" customWidth="1"/>
    <col min="3075" max="3075" width="11.42578125" customWidth="1"/>
    <col min="3076" max="3076" width="3" customWidth="1"/>
    <col min="3077" max="3077" width="88.42578125" customWidth="1"/>
    <col min="3328" max="3328" width="2.7109375" customWidth="1"/>
    <col min="3329" max="3329" width="5.42578125" customWidth="1"/>
    <col min="3330" max="3330" width="4" customWidth="1"/>
    <col min="3331" max="3331" width="11.42578125" customWidth="1"/>
    <col min="3332" max="3332" width="3" customWidth="1"/>
    <col min="3333" max="3333" width="88.42578125" customWidth="1"/>
    <col min="3584" max="3584" width="2.7109375" customWidth="1"/>
    <col min="3585" max="3585" width="5.42578125" customWidth="1"/>
    <col min="3586" max="3586" width="4" customWidth="1"/>
    <col min="3587" max="3587" width="11.42578125" customWidth="1"/>
    <col min="3588" max="3588" width="3" customWidth="1"/>
    <col min="3589" max="3589" width="88.42578125" customWidth="1"/>
    <col min="3840" max="3840" width="2.7109375" customWidth="1"/>
    <col min="3841" max="3841" width="5.42578125" customWidth="1"/>
    <col min="3842" max="3842" width="4" customWidth="1"/>
    <col min="3843" max="3843" width="11.42578125" customWidth="1"/>
    <col min="3844" max="3844" width="3" customWidth="1"/>
    <col min="3845" max="3845" width="88.42578125" customWidth="1"/>
    <col min="4096" max="4096" width="2.7109375" customWidth="1"/>
    <col min="4097" max="4097" width="5.42578125" customWidth="1"/>
    <col min="4098" max="4098" width="4" customWidth="1"/>
    <col min="4099" max="4099" width="11.42578125" customWidth="1"/>
    <col min="4100" max="4100" width="3" customWidth="1"/>
    <col min="4101" max="4101" width="88.42578125" customWidth="1"/>
    <col min="4352" max="4352" width="2.7109375" customWidth="1"/>
    <col min="4353" max="4353" width="5.42578125" customWidth="1"/>
    <col min="4354" max="4354" width="4" customWidth="1"/>
    <col min="4355" max="4355" width="11.42578125" customWidth="1"/>
    <col min="4356" max="4356" width="3" customWidth="1"/>
    <col min="4357" max="4357" width="88.42578125" customWidth="1"/>
    <col min="4608" max="4608" width="2.7109375" customWidth="1"/>
    <col min="4609" max="4609" width="5.42578125" customWidth="1"/>
    <col min="4610" max="4610" width="4" customWidth="1"/>
    <col min="4611" max="4611" width="11.42578125" customWidth="1"/>
    <col min="4612" max="4612" width="3" customWidth="1"/>
    <col min="4613" max="4613" width="88.42578125" customWidth="1"/>
    <col min="4864" max="4864" width="2.7109375" customWidth="1"/>
    <col min="4865" max="4865" width="5.42578125" customWidth="1"/>
    <col min="4866" max="4866" width="4" customWidth="1"/>
    <col min="4867" max="4867" width="11.42578125" customWidth="1"/>
    <col min="4868" max="4868" width="3" customWidth="1"/>
    <col min="4869" max="4869" width="88.42578125" customWidth="1"/>
    <col min="5120" max="5120" width="2.7109375" customWidth="1"/>
    <col min="5121" max="5121" width="5.42578125" customWidth="1"/>
    <col min="5122" max="5122" width="4" customWidth="1"/>
    <col min="5123" max="5123" width="11.42578125" customWidth="1"/>
    <col min="5124" max="5124" width="3" customWidth="1"/>
    <col min="5125" max="5125" width="88.42578125" customWidth="1"/>
    <col min="5376" max="5376" width="2.7109375" customWidth="1"/>
    <col min="5377" max="5377" width="5.42578125" customWidth="1"/>
    <col min="5378" max="5378" width="4" customWidth="1"/>
    <col min="5379" max="5379" width="11.42578125" customWidth="1"/>
    <col min="5380" max="5380" width="3" customWidth="1"/>
    <col min="5381" max="5381" width="88.42578125" customWidth="1"/>
    <col min="5632" max="5632" width="2.7109375" customWidth="1"/>
    <col min="5633" max="5633" width="5.42578125" customWidth="1"/>
    <col min="5634" max="5634" width="4" customWidth="1"/>
    <col min="5635" max="5635" width="11.42578125" customWidth="1"/>
    <col min="5636" max="5636" width="3" customWidth="1"/>
    <col min="5637" max="5637" width="88.42578125" customWidth="1"/>
    <col min="5888" max="5888" width="2.7109375" customWidth="1"/>
    <col min="5889" max="5889" width="5.42578125" customWidth="1"/>
    <col min="5890" max="5890" width="4" customWidth="1"/>
    <col min="5891" max="5891" width="11.42578125" customWidth="1"/>
    <col min="5892" max="5892" width="3" customWidth="1"/>
    <col min="5893" max="5893" width="88.42578125" customWidth="1"/>
    <col min="6144" max="6144" width="2.7109375" customWidth="1"/>
    <col min="6145" max="6145" width="5.42578125" customWidth="1"/>
    <col min="6146" max="6146" width="4" customWidth="1"/>
    <col min="6147" max="6147" width="11.42578125" customWidth="1"/>
    <col min="6148" max="6148" width="3" customWidth="1"/>
    <col min="6149" max="6149" width="88.42578125" customWidth="1"/>
    <col min="6400" max="6400" width="2.7109375" customWidth="1"/>
    <col min="6401" max="6401" width="5.42578125" customWidth="1"/>
    <col min="6402" max="6402" width="4" customWidth="1"/>
    <col min="6403" max="6403" width="11.42578125" customWidth="1"/>
    <col min="6404" max="6404" width="3" customWidth="1"/>
    <col min="6405" max="6405" width="88.42578125" customWidth="1"/>
    <col min="6656" max="6656" width="2.7109375" customWidth="1"/>
    <col min="6657" max="6657" width="5.42578125" customWidth="1"/>
    <col min="6658" max="6658" width="4" customWidth="1"/>
    <col min="6659" max="6659" width="11.42578125" customWidth="1"/>
    <col min="6660" max="6660" width="3" customWidth="1"/>
    <col min="6661" max="6661" width="88.42578125" customWidth="1"/>
    <col min="6912" max="6912" width="2.7109375" customWidth="1"/>
    <col min="6913" max="6913" width="5.42578125" customWidth="1"/>
    <col min="6914" max="6914" width="4" customWidth="1"/>
    <col min="6915" max="6915" width="11.42578125" customWidth="1"/>
    <col min="6916" max="6916" width="3" customWidth="1"/>
    <col min="6917" max="6917" width="88.42578125" customWidth="1"/>
    <col min="7168" max="7168" width="2.7109375" customWidth="1"/>
    <col min="7169" max="7169" width="5.42578125" customWidth="1"/>
    <col min="7170" max="7170" width="4" customWidth="1"/>
    <col min="7171" max="7171" width="11.42578125" customWidth="1"/>
    <col min="7172" max="7172" width="3" customWidth="1"/>
    <col min="7173" max="7173" width="88.42578125" customWidth="1"/>
    <col min="7424" max="7424" width="2.7109375" customWidth="1"/>
    <col min="7425" max="7425" width="5.42578125" customWidth="1"/>
    <col min="7426" max="7426" width="4" customWidth="1"/>
    <col min="7427" max="7427" width="11.42578125" customWidth="1"/>
    <col min="7428" max="7428" width="3" customWidth="1"/>
    <col min="7429" max="7429" width="88.42578125" customWidth="1"/>
    <col min="7680" max="7680" width="2.7109375" customWidth="1"/>
    <col min="7681" max="7681" width="5.42578125" customWidth="1"/>
    <col min="7682" max="7682" width="4" customWidth="1"/>
    <col min="7683" max="7683" width="11.42578125" customWidth="1"/>
    <col min="7684" max="7684" width="3" customWidth="1"/>
    <col min="7685" max="7685" width="88.42578125" customWidth="1"/>
    <col min="7936" max="7936" width="2.7109375" customWidth="1"/>
    <col min="7937" max="7937" width="5.42578125" customWidth="1"/>
    <col min="7938" max="7938" width="4" customWidth="1"/>
    <col min="7939" max="7939" width="11.42578125" customWidth="1"/>
    <col min="7940" max="7940" width="3" customWidth="1"/>
    <col min="7941" max="7941" width="88.42578125" customWidth="1"/>
    <col min="8192" max="8192" width="2.7109375" customWidth="1"/>
    <col min="8193" max="8193" width="5.42578125" customWidth="1"/>
    <col min="8194" max="8194" width="4" customWidth="1"/>
    <col min="8195" max="8195" width="11.42578125" customWidth="1"/>
    <col min="8196" max="8196" width="3" customWidth="1"/>
    <col min="8197" max="8197" width="88.42578125" customWidth="1"/>
    <col min="8448" max="8448" width="2.7109375" customWidth="1"/>
    <col min="8449" max="8449" width="5.42578125" customWidth="1"/>
    <col min="8450" max="8450" width="4" customWidth="1"/>
    <col min="8451" max="8451" width="11.42578125" customWidth="1"/>
    <col min="8452" max="8452" width="3" customWidth="1"/>
    <col min="8453" max="8453" width="88.42578125" customWidth="1"/>
    <col min="8704" max="8704" width="2.7109375" customWidth="1"/>
    <col min="8705" max="8705" width="5.42578125" customWidth="1"/>
    <col min="8706" max="8706" width="4" customWidth="1"/>
    <col min="8707" max="8707" width="11.42578125" customWidth="1"/>
    <col min="8708" max="8708" width="3" customWidth="1"/>
    <col min="8709" max="8709" width="88.42578125" customWidth="1"/>
    <col min="8960" max="8960" width="2.7109375" customWidth="1"/>
    <col min="8961" max="8961" width="5.42578125" customWidth="1"/>
    <col min="8962" max="8962" width="4" customWidth="1"/>
    <col min="8963" max="8963" width="11.42578125" customWidth="1"/>
    <col min="8964" max="8964" width="3" customWidth="1"/>
    <col min="8965" max="8965" width="88.42578125" customWidth="1"/>
    <col min="9216" max="9216" width="2.7109375" customWidth="1"/>
    <col min="9217" max="9217" width="5.42578125" customWidth="1"/>
    <col min="9218" max="9218" width="4" customWidth="1"/>
    <col min="9219" max="9219" width="11.42578125" customWidth="1"/>
    <col min="9220" max="9220" width="3" customWidth="1"/>
    <col min="9221" max="9221" width="88.42578125" customWidth="1"/>
    <col min="9472" max="9472" width="2.7109375" customWidth="1"/>
    <col min="9473" max="9473" width="5.42578125" customWidth="1"/>
    <col min="9474" max="9474" width="4" customWidth="1"/>
    <col min="9475" max="9475" width="11.42578125" customWidth="1"/>
    <col min="9476" max="9476" width="3" customWidth="1"/>
    <col min="9477" max="9477" width="88.42578125" customWidth="1"/>
    <col min="9728" max="9728" width="2.7109375" customWidth="1"/>
    <col min="9729" max="9729" width="5.42578125" customWidth="1"/>
    <col min="9730" max="9730" width="4" customWidth="1"/>
    <col min="9731" max="9731" width="11.42578125" customWidth="1"/>
    <col min="9732" max="9732" width="3" customWidth="1"/>
    <col min="9733" max="9733" width="88.42578125" customWidth="1"/>
    <col min="9984" max="9984" width="2.7109375" customWidth="1"/>
    <col min="9985" max="9985" width="5.42578125" customWidth="1"/>
    <col min="9986" max="9986" width="4" customWidth="1"/>
    <col min="9987" max="9987" width="11.42578125" customWidth="1"/>
    <col min="9988" max="9988" width="3" customWidth="1"/>
    <col min="9989" max="9989" width="88.42578125" customWidth="1"/>
    <col min="10240" max="10240" width="2.7109375" customWidth="1"/>
    <col min="10241" max="10241" width="5.42578125" customWidth="1"/>
    <col min="10242" max="10242" width="4" customWidth="1"/>
    <col min="10243" max="10243" width="11.42578125" customWidth="1"/>
    <col min="10244" max="10244" width="3" customWidth="1"/>
    <col min="10245" max="10245" width="88.42578125" customWidth="1"/>
    <col min="10496" max="10496" width="2.7109375" customWidth="1"/>
    <col min="10497" max="10497" width="5.42578125" customWidth="1"/>
    <col min="10498" max="10498" width="4" customWidth="1"/>
    <col min="10499" max="10499" width="11.42578125" customWidth="1"/>
    <col min="10500" max="10500" width="3" customWidth="1"/>
    <col min="10501" max="10501" width="88.42578125" customWidth="1"/>
    <col min="10752" max="10752" width="2.7109375" customWidth="1"/>
    <col min="10753" max="10753" width="5.42578125" customWidth="1"/>
    <col min="10754" max="10754" width="4" customWidth="1"/>
    <col min="10755" max="10755" width="11.42578125" customWidth="1"/>
    <col min="10756" max="10756" width="3" customWidth="1"/>
    <col min="10757" max="10757" width="88.42578125" customWidth="1"/>
    <col min="11008" max="11008" width="2.7109375" customWidth="1"/>
    <col min="11009" max="11009" width="5.42578125" customWidth="1"/>
    <col min="11010" max="11010" width="4" customWidth="1"/>
    <col min="11011" max="11011" width="11.42578125" customWidth="1"/>
    <col min="11012" max="11012" width="3" customWidth="1"/>
    <col min="11013" max="11013" width="88.42578125" customWidth="1"/>
    <col min="11264" max="11264" width="2.7109375" customWidth="1"/>
    <col min="11265" max="11265" width="5.42578125" customWidth="1"/>
    <col min="11266" max="11266" width="4" customWidth="1"/>
    <col min="11267" max="11267" width="11.42578125" customWidth="1"/>
    <col min="11268" max="11268" width="3" customWidth="1"/>
    <col min="11269" max="11269" width="88.42578125" customWidth="1"/>
    <col min="11520" max="11520" width="2.7109375" customWidth="1"/>
    <col min="11521" max="11521" width="5.42578125" customWidth="1"/>
    <col min="11522" max="11522" width="4" customWidth="1"/>
    <col min="11523" max="11523" width="11.42578125" customWidth="1"/>
    <col min="11524" max="11524" width="3" customWidth="1"/>
    <col min="11525" max="11525" width="88.42578125" customWidth="1"/>
    <col min="11776" max="11776" width="2.7109375" customWidth="1"/>
    <col min="11777" max="11777" width="5.42578125" customWidth="1"/>
    <col min="11778" max="11778" width="4" customWidth="1"/>
    <col min="11779" max="11779" width="11.42578125" customWidth="1"/>
    <col min="11780" max="11780" width="3" customWidth="1"/>
    <col min="11781" max="11781" width="88.42578125" customWidth="1"/>
    <col min="12032" max="12032" width="2.7109375" customWidth="1"/>
    <col min="12033" max="12033" width="5.42578125" customWidth="1"/>
    <col min="12034" max="12034" width="4" customWidth="1"/>
    <col min="12035" max="12035" width="11.42578125" customWidth="1"/>
    <col min="12036" max="12036" width="3" customWidth="1"/>
    <col min="12037" max="12037" width="88.42578125" customWidth="1"/>
    <col min="12288" max="12288" width="2.7109375" customWidth="1"/>
    <col min="12289" max="12289" width="5.42578125" customWidth="1"/>
    <col min="12290" max="12290" width="4" customWidth="1"/>
    <col min="12291" max="12291" width="11.42578125" customWidth="1"/>
    <col min="12292" max="12292" width="3" customWidth="1"/>
    <col min="12293" max="12293" width="88.42578125" customWidth="1"/>
    <col min="12544" max="12544" width="2.7109375" customWidth="1"/>
    <col min="12545" max="12545" width="5.42578125" customWidth="1"/>
    <col min="12546" max="12546" width="4" customWidth="1"/>
    <col min="12547" max="12547" width="11.42578125" customWidth="1"/>
    <col min="12548" max="12548" width="3" customWidth="1"/>
    <col min="12549" max="12549" width="88.42578125" customWidth="1"/>
    <col min="12800" max="12800" width="2.7109375" customWidth="1"/>
    <col min="12801" max="12801" width="5.42578125" customWidth="1"/>
    <col min="12802" max="12802" width="4" customWidth="1"/>
    <col min="12803" max="12803" width="11.42578125" customWidth="1"/>
    <col min="12804" max="12804" width="3" customWidth="1"/>
    <col min="12805" max="12805" width="88.42578125" customWidth="1"/>
    <col min="13056" max="13056" width="2.7109375" customWidth="1"/>
    <col min="13057" max="13057" width="5.42578125" customWidth="1"/>
    <col min="13058" max="13058" width="4" customWidth="1"/>
    <col min="13059" max="13059" width="11.42578125" customWidth="1"/>
    <col min="13060" max="13060" width="3" customWidth="1"/>
    <col min="13061" max="13061" width="88.42578125" customWidth="1"/>
    <col min="13312" max="13312" width="2.7109375" customWidth="1"/>
    <col min="13313" max="13313" width="5.42578125" customWidth="1"/>
    <col min="13314" max="13314" width="4" customWidth="1"/>
    <col min="13315" max="13315" width="11.42578125" customWidth="1"/>
    <col min="13316" max="13316" width="3" customWidth="1"/>
    <col min="13317" max="13317" width="88.42578125" customWidth="1"/>
    <col min="13568" max="13568" width="2.7109375" customWidth="1"/>
    <col min="13569" max="13569" width="5.42578125" customWidth="1"/>
    <col min="13570" max="13570" width="4" customWidth="1"/>
    <col min="13571" max="13571" width="11.42578125" customWidth="1"/>
    <col min="13572" max="13572" width="3" customWidth="1"/>
    <col min="13573" max="13573" width="88.42578125" customWidth="1"/>
    <col min="13824" max="13824" width="2.7109375" customWidth="1"/>
    <col min="13825" max="13825" width="5.42578125" customWidth="1"/>
    <col min="13826" max="13826" width="4" customWidth="1"/>
    <col min="13827" max="13827" width="11.42578125" customWidth="1"/>
    <col min="13828" max="13828" width="3" customWidth="1"/>
    <col min="13829" max="13829" width="88.42578125" customWidth="1"/>
    <col min="14080" max="14080" width="2.7109375" customWidth="1"/>
    <col min="14081" max="14081" width="5.42578125" customWidth="1"/>
    <col min="14082" max="14082" width="4" customWidth="1"/>
    <col min="14083" max="14083" width="11.42578125" customWidth="1"/>
    <col min="14084" max="14084" width="3" customWidth="1"/>
    <col min="14085" max="14085" width="88.42578125" customWidth="1"/>
    <col min="14336" max="14336" width="2.7109375" customWidth="1"/>
    <col min="14337" max="14337" width="5.42578125" customWidth="1"/>
    <col min="14338" max="14338" width="4" customWidth="1"/>
    <col min="14339" max="14339" width="11.42578125" customWidth="1"/>
    <col min="14340" max="14340" width="3" customWidth="1"/>
    <col min="14341" max="14341" width="88.42578125" customWidth="1"/>
    <col min="14592" max="14592" width="2.7109375" customWidth="1"/>
    <col min="14593" max="14593" width="5.42578125" customWidth="1"/>
    <col min="14594" max="14594" width="4" customWidth="1"/>
    <col min="14595" max="14595" width="11.42578125" customWidth="1"/>
    <col min="14596" max="14596" width="3" customWidth="1"/>
    <col min="14597" max="14597" width="88.42578125" customWidth="1"/>
    <col min="14848" max="14848" width="2.7109375" customWidth="1"/>
    <col min="14849" max="14849" width="5.42578125" customWidth="1"/>
    <col min="14850" max="14850" width="4" customWidth="1"/>
    <col min="14851" max="14851" width="11.42578125" customWidth="1"/>
    <col min="14852" max="14852" width="3" customWidth="1"/>
    <col min="14853" max="14853" width="88.42578125" customWidth="1"/>
    <col min="15104" max="15104" width="2.7109375" customWidth="1"/>
    <col min="15105" max="15105" width="5.42578125" customWidth="1"/>
    <col min="15106" max="15106" width="4" customWidth="1"/>
    <col min="15107" max="15107" width="11.42578125" customWidth="1"/>
    <col min="15108" max="15108" width="3" customWidth="1"/>
    <col min="15109" max="15109" width="88.42578125" customWidth="1"/>
    <col min="15360" max="15360" width="2.7109375" customWidth="1"/>
    <col min="15361" max="15361" width="5.42578125" customWidth="1"/>
    <col min="15362" max="15362" width="4" customWidth="1"/>
    <col min="15363" max="15363" width="11.42578125" customWidth="1"/>
    <col min="15364" max="15364" width="3" customWidth="1"/>
    <col min="15365" max="15365" width="88.42578125" customWidth="1"/>
    <col min="15616" max="15616" width="2.7109375" customWidth="1"/>
    <col min="15617" max="15617" width="5.42578125" customWidth="1"/>
    <col min="15618" max="15618" width="4" customWidth="1"/>
    <col min="15619" max="15619" width="11.42578125" customWidth="1"/>
    <col min="15620" max="15620" width="3" customWidth="1"/>
    <col min="15621" max="15621" width="88.42578125" customWidth="1"/>
    <col min="15872" max="15872" width="2.7109375" customWidth="1"/>
    <col min="15873" max="15873" width="5.42578125" customWidth="1"/>
    <col min="15874" max="15874" width="4" customWidth="1"/>
    <col min="15875" max="15875" width="11.42578125" customWidth="1"/>
    <col min="15876" max="15876" width="3" customWidth="1"/>
    <col min="15877" max="15877" width="88.42578125" customWidth="1"/>
    <col min="16128" max="16128" width="2.7109375" customWidth="1"/>
    <col min="16129" max="16129" width="5.42578125" customWidth="1"/>
    <col min="16130" max="16130" width="4" customWidth="1"/>
    <col min="16131" max="16131" width="11.42578125" customWidth="1"/>
    <col min="16132" max="16132" width="3" customWidth="1"/>
    <col min="16133" max="16133" width="88.42578125" customWidth="1"/>
  </cols>
  <sheetData>
    <row r="1" spans="2:6" ht="34.9" customHeight="1" x14ac:dyDescent="0.2">
      <c r="B1" s="61" t="s">
        <v>0</v>
      </c>
      <c r="C1" s="62" t="s">
        <v>1</v>
      </c>
      <c r="D1" s="62" t="s">
        <v>1</v>
      </c>
      <c r="E1" s="63" t="s">
        <v>1</v>
      </c>
    </row>
    <row r="2" spans="2:6" ht="34.9" customHeight="1" x14ac:dyDescent="0.2">
      <c r="B2" s="64" t="s">
        <v>2</v>
      </c>
      <c r="C2" s="65" t="s">
        <v>1</v>
      </c>
      <c r="D2" s="65" t="s">
        <v>1</v>
      </c>
      <c r="E2" s="66" t="s">
        <v>1</v>
      </c>
    </row>
    <row r="3" spans="2:6" ht="15.75" customHeight="1" x14ac:dyDescent="0.2">
      <c r="B3" s="67" t="s">
        <v>3</v>
      </c>
      <c r="C3" s="68"/>
      <c r="D3" s="68"/>
      <c r="E3" s="69"/>
      <c r="F3" s="43" t="s">
        <v>1</v>
      </c>
    </row>
    <row r="4" spans="2:6" ht="15.75" customHeight="1" x14ac:dyDescent="0.2">
      <c r="B4" s="44">
        <v>1</v>
      </c>
      <c r="C4" s="60" t="s">
        <v>4</v>
      </c>
      <c r="D4" s="60"/>
      <c r="E4" s="60"/>
      <c r="F4" s="60"/>
    </row>
    <row r="5" spans="2:6" ht="15.75" customHeight="1" x14ac:dyDescent="0.2">
      <c r="B5" s="44">
        <v>2</v>
      </c>
      <c r="C5" s="60" t="s">
        <v>5</v>
      </c>
      <c r="D5" s="60"/>
      <c r="E5" s="60"/>
      <c r="F5" s="60"/>
    </row>
    <row r="6" spans="2:6" ht="15.75" customHeight="1" x14ac:dyDescent="0.2">
      <c r="B6" s="44">
        <v>3</v>
      </c>
      <c r="C6" s="60" t="s">
        <v>6</v>
      </c>
      <c r="D6" s="60"/>
      <c r="E6" s="60"/>
      <c r="F6" s="60"/>
    </row>
    <row r="7" spans="2:6" ht="15.75" customHeight="1" x14ac:dyDescent="0.2">
      <c r="B7" s="44">
        <v>4</v>
      </c>
      <c r="C7" s="60" t="s">
        <v>7</v>
      </c>
      <c r="D7" s="60" t="s">
        <v>1</v>
      </c>
      <c r="E7" s="60" t="s">
        <v>1</v>
      </c>
      <c r="F7" s="60" t="s">
        <v>1</v>
      </c>
    </row>
    <row r="8" spans="2:6" ht="15.75" customHeight="1" x14ac:dyDescent="0.2">
      <c r="B8" s="45">
        <v>5</v>
      </c>
      <c r="C8" s="60" t="s">
        <v>8</v>
      </c>
      <c r="D8" s="60"/>
      <c r="E8" s="60"/>
      <c r="F8" s="60"/>
    </row>
    <row r="9" spans="2:6" ht="15.75" customHeight="1" x14ac:dyDescent="0.2">
      <c r="B9" s="45">
        <v>6</v>
      </c>
      <c r="C9" s="60" t="s">
        <v>9</v>
      </c>
      <c r="D9" s="60"/>
      <c r="E9" s="60"/>
      <c r="F9" s="60"/>
    </row>
    <row r="10" spans="2:6" ht="15.75" customHeight="1" x14ac:dyDescent="0.2">
      <c r="B10" s="45">
        <v>7</v>
      </c>
      <c r="C10" s="60" t="s">
        <v>10</v>
      </c>
      <c r="D10" s="60"/>
      <c r="E10" s="60"/>
      <c r="F10" s="60"/>
    </row>
    <row r="11" spans="2:6" ht="21" customHeight="1" x14ac:dyDescent="0.2">
      <c r="B11" s="45">
        <v>8</v>
      </c>
      <c r="C11" s="70" t="s">
        <v>11</v>
      </c>
      <c r="D11" s="70" t="s">
        <v>1</v>
      </c>
      <c r="E11" s="70" t="s">
        <v>1</v>
      </c>
      <c r="F11" s="70" t="s">
        <v>1</v>
      </c>
    </row>
    <row r="12" spans="2:6" x14ac:dyDescent="0.2">
      <c r="B12" s="46" t="s">
        <v>1</v>
      </c>
      <c r="C12" s="47" t="s">
        <v>1</v>
      </c>
      <c r="D12" s="48" t="s">
        <v>1</v>
      </c>
      <c r="E12" s="44" t="s">
        <v>12</v>
      </c>
    </row>
    <row r="13" spans="2:6" x14ac:dyDescent="0.2">
      <c r="B13" s="49" t="s">
        <v>1</v>
      </c>
      <c r="C13" s="50" t="s">
        <v>1</v>
      </c>
      <c r="D13" s="49" t="s">
        <v>1</v>
      </c>
      <c r="E13" s="44" t="s">
        <v>1</v>
      </c>
    </row>
    <row r="14" spans="2:6" x14ac:dyDescent="0.2">
      <c r="B14" s="46"/>
      <c r="C14" s="51"/>
      <c r="D14" s="48"/>
      <c r="E14" s="44" t="s">
        <v>13</v>
      </c>
    </row>
    <row r="15" spans="2:6" x14ac:dyDescent="0.2">
      <c r="B15" s="46"/>
      <c r="C15" s="52"/>
      <c r="D15" s="48"/>
      <c r="E15" s="44"/>
    </row>
    <row r="16" spans="2:6" x14ac:dyDescent="0.2">
      <c r="B16" s="46" t="s">
        <v>1</v>
      </c>
      <c r="C16" s="53" t="s">
        <v>1</v>
      </c>
      <c r="D16" s="48" t="s">
        <v>1</v>
      </c>
      <c r="E16" s="44" t="s">
        <v>14</v>
      </c>
    </row>
    <row r="17" spans="2:5" x14ac:dyDescent="0.2">
      <c r="B17" s="49" t="s">
        <v>1</v>
      </c>
      <c r="C17" s="50" t="s">
        <v>1</v>
      </c>
      <c r="D17" s="49" t="s">
        <v>1</v>
      </c>
      <c r="E17" s="49" t="s">
        <v>1</v>
      </c>
    </row>
    <row r="18" spans="2:5" x14ac:dyDescent="0.2">
      <c r="C18" s="54"/>
      <c r="E18" t="s">
        <v>15</v>
      </c>
    </row>
    <row r="20" spans="2:5" x14ac:dyDescent="0.2">
      <c r="B20" s="46" t="s">
        <v>1</v>
      </c>
      <c r="C20" s="55" t="s">
        <v>1</v>
      </c>
      <c r="D20" s="48" t="s">
        <v>1</v>
      </c>
      <c r="E20" s="56" t="s">
        <v>16</v>
      </c>
    </row>
    <row r="21" spans="2:5" x14ac:dyDescent="0.2">
      <c r="B21" s="49" t="s">
        <v>1</v>
      </c>
      <c r="C21" s="50" t="s">
        <v>1</v>
      </c>
      <c r="D21" s="49" t="s">
        <v>1</v>
      </c>
      <c r="E21" s="57" t="s">
        <v>1</v>
      </c>
    </row>
    <row r="22" spans="2:5" x14ac:dyDescent="0.2">
      <c r="B22" s="46" t="s">
        <v>1</v>
      </c>
      <c r="C22" s="58" t="s">
        <v>1</v>
      </c>
      <c r="D22" s="48" t="s">
        <v>1</v>
      </c>
      <c r="E22" s="44" t="s">
        <v>17</v>
      </c>
    </row>
    <row r="23" spans="2:5" x14ac:dyDescent="0.2">
      <c r="B23" s="49" t="s">
        <v>1</v>
      </c>
      <c r="C23" s="50" t="s">
        <v>1</v>
      </c>
      <c r="D23" s="49" t="s">
        <v>1</v>
      </c>
      <c r="E23" s="44" t="s">
        <v>1</v>
      </c>
    </row>
    <row r="26" spans="2:5" ht="14.25" customHeight="1" x14ac:dyDescent="0.2"/>
  </sheetData>
  <sheetProtection algorithmName="SHA-512" hashValue="l6cOn6EIp8WQpAsuZ/PFl50Jn2UpEyPsqbgTj7wh+2qJdPlWZVxFami1ZRkfWQralVDvHKhKztMKfEWAR/r8YQ==" saltValue="TW/VRXyz/hQzQ1Ws0XdWIg==" spinCount="100000" sheet="1" objects="1" scenarios="1" selectLockedCells="1"/>
  <mergeCells count="11">
    <mergeCell ref="C7:F7"/>
    <mergeCell ref="C8:F8"/>
    <mergeCell ref="C9:F9"/>
    <mergeCell ref="C10:F10"/>
    <mergeCell ref="C11:F11"/>
    <mergeCell ref="C6:F6"/>
    <mergeCell ref="B1:E1"/>
    <mergeCell ref="B2:E2"/>
    <mergeCell ref="B3:E3"/>
    <mergeCell ref="C4:F4"/>
    <mergeCell ref="C5:F5"/>
  </mergeCells>
  <pageMargins left="0.7" right="0.7" top="0.75" bottom="0.75" header="0.3" footer="0.3"/>
  <pageSetup paperSize="9" orientation="portrait"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9"/>
  <sheetViews>
    <sheetView tabSelected="1" zoomScale="90" zoomScaleNormal="90" workbookViewId="0">
      <selection activeCell="C59" sqref="C59"/>
    </sheetView>
  </sheetViews>
  <sheetFormatPr defaultColWidth="8.7109375" defaultRowHeight="12" x14ac:dyDescent="0.2"/>
  <cols>
    <col min="1" max="1" width="7.7109375" style="3" customWidth="1"/>
    <col min="2" max="2" width="110.7109375" style="7" customWidth="1"/>
    <col min="3" max="4" width="26.5703125" style="3" customWidth="1"/>
    <col min="5" max="5" width="22.42578125" style="3" customWidth="1"/>
    <col min="6" max="6" width="14.42578125" style="3" customWidth="1"/>
    <col min="7" max="7" width="28.5703125" style="3" customWidth="1"/>
    <col min="8" max="16384" width="8.7109375" style="3"/>
  </cols>
  <sheetData>
    <row r="1" spans="1:4" ht="24" x14ac:dyDescent="0.2">
      <c r="A1" s="1" t="s">
        <v>18</v>
      </c>
      <c r="B1" s="2" t="s">
        <v>19</v>
      </c>
      <c r="C1" s="2" t="s">
        <v>20</v>
      </c>
      <c r="D1" s="2" t="s">
        <v>21</v>
      </c>
    </row>
    <row r="2" spans="1:4" x14ac:dyDescent="0.2">
      <c r="A2" s="4">
        <v>1</v>
      </c>
      <c r="B2" s="5" t="s">
        <v>22</v>
      </c>
      <c r="C2" s="5"/>
      <c r="D2" s="5"/>
    </row>
    <row r="3" spans="1:4" ht="409.5" x14ac:dyDescent="0.2">
      <c r="A3" s="6">
        <v>1.1000000000000001</v>
      </c>
      <c r="B3" s="7" t="s">
        <v>23</v>
      </c>
      <c r="C3" s="8" t="s">
        <v>24</v>
      </c>
      <c r="D3" s="9" t="s">
        <v>25</v>
      </c>
    </row>
    <row r="4" spans="1:4" ht="267.75" x14ac:dyDescent="0.2">
      <c r="A4" s="6">
        <v>1.2</v>
      </c>
      <c r="B4" s="7" t="s">
        <v>26</v>
      </c>
      <c r="C4" s="8" t="s">
        <v>24</v>
      </c>
      <c r="D4" s="9" t="s">
        <v>27</v>
      </c>
    </row>
    <row r="5" spans="1:4" ht="242.25" x14ac:dyDescent="0.2">
      <c r="A5" s="6">
        <v>1.3</v>
      </c>
      <c r="B5" s="7" t="s">
        <v>28</v>
      </c>
      <c r="C5" s="8" t="s">
        <v>24</v>
      </c>
      <c r="D5" s="9" t="s">
        <v>29</v>
      </c>
    </row>
    <row r="6" spans="1:4" x14ac:dyDescent="0.2">
      <c r="A6" s="4">
        <v>2</v>
      </c>
      <c r="B6" s="5" t="s">
        <v>30</v>
      </c>
      <c r="C6" s="5"/>
      <c r="D6" s="5"/>
    </row>
    <row r="7" spans="1:4" ht="409.5" x14ac:dyDescent="0.2">
      <c r="A7" s="6">
        <v>2.1</v>
      </c>
      <c r="B7" s="7" t="s">
        <v>31</v>
      </c>
      <c r="C7" s="8" t="s">
        <v>24</v>
      </c>
      <c r="D7" s="9" t="s">
        <v>32</v>
      </c>
    </row>
    <row r="8" spans="1:4" ht="409.5" x14ac:dyDescent="0.2">
      <c r="A8" s="6">
        <v>2.2000000000000002</v>
      </c>
      <c r="B8" s="7" t="s">
        <v>33</v>
      </c>
      <c r="C8" s="8" t="s">
        <v>24</v>
      </c>
      <c r="D8" s="9" t="s">
        <v>34</v>
      </c>
    </row>
    <row r="9" spans="1:4" ht="408" x14ac:dyDescent="0.2">
      <c r="A9" s="6">
        <v>2.2999999999999998</v>
      </c>
      <c r="B9" s="7" t="s">
        <v>35</v>
      </c>
      <c r="C9" s="8" t="s">
        <v>24</v>
      </c>
      <c r="D9" s="9" t="s">
        <v>194</v>
      </c>
    </row>
    <row r="10" spans="1:4" ht="369.75" x14ac:dyDescent="0.2">
      <c r="A10" s="10">
        <v>2.4</v>
      </c>
      <c r="B10" s="11" t="s">
        <v>36</v>
      </c>
      <c r="C10" s="8" t="s">
        <v>24</v>
      </c>
      <c r="D10" s="9" t="s">
        <v>192</v>
      </c>
    </row>
    <row r="11" spans="1:4" ht="280.5" x14ac:dyDescent="0.2">
      <c r="A11" s="10">
        <v>2.5</v>
      </c>
      <c r="B11" s="11" t="s">
        <v>37</v>
      </c>
      <c r="C11" s="8" t="s">
        <v>24</v>
      </c>
      <c r="D11" s="9" t="s">
        <v>38</v>
      </c>
    </row>
    <row r="12" spans="1:4" ht="280.5" x14ac:dyDescent="0.2">
      <c r="A12" s="10">
        <v>2.6</v>
      </c>
      <c r="B12" s="11" t="s">
        <v>39</v>
      </c>
      <c r="C12" s="8" t="s">
        <v>24</v>
      </c>
      <c r="D12" s="9" t="s">
        <v>38</v>
      </c>
    </row>
    <row r="13" spans="1:4" ht="409.5" x14ac:dyDescent="0.2">
      <c r="A13" s="6">
        <v>2.7</v>
      </c>
      <c r="B13" s="7" t="s">
        <v>40</v>
      </c>
      <c r="C13" s="8" t="s">
        <v>24</v>
      </c>
      <c r="D13" s="9" t="s">
        <v>193</v>
      </c>
    </row>
    <row r="14" spans="1:4" ht="331.5" x14ac:dyDescent="0.2">
      <c r="A14" s="6">
        <v>2.8</v>
      </c>
      <c r="B14" s="7" t="s">
        <v>41</v>
      </c>
      <c r="C14" s="8" t="s">
        <v>24</v>
      </c>
      <c r="D14" s="9" t="s">
        <v>180</v>
      </c>
    </row>
    <row r="15" spans="1:4" x14ac:dyDescent="0.2">
      <c r="A15" s="4">
        <v>3</v>
      </c>
      <c r="B15" s="5" t="s">
        <v>42</v>
      </c>
      <c r="C15" s="5"/>
      <c r="D15" s="5"/>
    </row>
    <row r="16" spans="1:4" ht="24" x14ac:dyDescent="0.2">
      <c r="A16" s="6">
        <v>3.1</v>
      </c>
      <c r="B16" s="7" t="s">
        <v>43</v>
      </c>
      <c r="C16" s="5" t="s">
        <v>44</v>
      </c>
    </row>
    <row r="17" spans="1:4" ht="140.25" x14ac:dyDescent="0.2">
      <c r="A17" s="6">
        <v>3.2</v>
      </c>
      <c r="B17" s="7" t="s">
        <v>45</v>
      </c>
      <c r="C17" s="8" t="s">
        <v>24</v>
      </c>
      <c r="D17" s="9" t="s">
        <v>181</v>
      </c>
    </row>
    <row r="18" spans="1:4" ht="331.5" x14ac:dyDescent="0.2">
      <c r="A18" s="10">
        <v>3.3</v>
      </c>
      <c r="B18" s="11" t="s">
        <v>46</v>
      </c>
      <c r="C18" s="8" t="s">
        <v>24</v>
      </c>
      <c r="D18" s="9" t="s">
        <v>182</v>
      </c>
    </row>
    <row r="19" spans="1:4" ht="204" x14ac:dyDescent="0.2">
      <c r="A19" s="10">
        <v>3.4</v>
      </c>
      <c r="B19" s="11" t="s">
        <v>47</v>
      </c>
      <c r="C19" s="8" t="s">
        <v>24</v>
      </c>
      <c r="D19" s="9" t="s">
        <v>48</v>
      </c>
    </row>
    <row r="20" spans="1:4" ht="409.5" x14ac:dyDescent="0.2">
      <c r="A20" s="10">
        <v>3.5</v>
      </c>
      <c r="B20" s="11" t="s">
        <v>49</v>
      </c>
      <c r="C20" s="8" t="s">
        <v>24</v>
      </c>
      <c r="D20" s="9" t="s">
        <v>183</v>
      </c>
    </row>
    <row r="21" spans="1:4" ht="242.25" x14ac:dyDescent="0.2">
      <c r="A21" s="6">
        <v>3.6</v>
      </c>
      <c r="B21" s="7" t="s">
        <v>50</v>
      </c>
      <c r="C21" s="8" t="s">
        <v>24</v>
      </c>
      <c r="D21" s="9" t="s">
        <v>196</v>
      </c>
    </row>
    <row r="22" spans="1:4" ht="114.75" x14ac:dyDescent="0.2">
      <c r="A22" s="6">
        <v>3.7</v>
      </c>
      <c r="B22" s="7" t="s">
        <v>51</v>
      </c>
      <c r="C22" s="8" t="s">
        <v>24</v>
      </c>
      <c r="D22" s="9" t="s">
        <v>184</v>
      </c>
    </row>
    <row r="23" spans="1:4" ht="344.25" x14ac:dyDescent="0.2">
      <c r="A23" s="6">
        <v>3.8</v>
      </c>
      <c r="B23" s="7" t="s">
        <v>52</v>
      </c>
      <c r="C23" s="8" t="s">
        <v>24</v>
      </c>
      <c r="D23" s="9" t="s">
        <v>53</v>
      </c>
    </row>
    <row r="24" spans="1:4" x14ac:dyDescent="0.2">
      <c r="A24" s="4">
        <v>4</v>
      </c>
      <c r="B24" s="5" t="s">
        <v>54</v>
      </c>
      <c r="C24" s="5"/>
      <c r="D24" s="5"/>
    </row>
    <row r="25" spans="1:4" ht="395.25" x14ac:dyDescent="0.2">
      <c r="A25" s="6">
        <v>4.0999999999999996</v>
      </c>
      <c r="B25" s="7" t="s">
        <v>55</v>
      </c>
      <c r="C25" s="8" t="s">
        <v>24</v>
      </c>
      <c r="D25" s="9" t="s">
        <v>185</v>
      </c>
    </row>
    <row r="26" spans="1:4" x14ac:dyDescent="0.2">
      <c r="A26" s="4">
        <v>5</v>
      </c>
      <c r="B26" s="5" t="s">
        <v>56</v>
      </c>
      <c r="C26" s="5"/>
      <c r="D26" s="5"/>
    </row>
    <row r="27" spans="1:4" ht="102" x14ac:dyDescent="0.2">
      <c r="A27" s="6">
        <v>5.0999999999999996</v>
      </c>
      <c r="B27" s="7" t="s">
        <v>57</v>
      </c>
      <c r="C27" s="8" t="s">
        <v>24</v>
      </c>
      <c r="D27" s="9" t="s">
        <v>186</v>
      </c>
    </row>
    <row r="28" spans="1:4" ht="127.5" x14ac:dyDescent="0.2">
      <c r="A28" s="6">
        <v>5.2</v>
      </c>
      <c r="B28" s="7" t="s">
        <v>58</v>
      </c>
      <c r="C28" s="8" t="s">
        <v>24</v>
      </c>
      <c r="D28" s="9" t="s">
        <v>187</v>
      </c>
    </row>
    <row r="29" spans="1:4" ht="153" x14ac:dyDescent="0.2">
      <c r="A29" s="6">
        <v>5.3</v>
      </c>
      <c r="B29" s="7" t="s">
        <v>59</v>
      </c>
      <c r="C29" s="8" t="s">
        <v>24</v>
      </c>
      <c r="D29" s="9" t="s">
        <v>189</v>
      </c>
    </row>
    <row r="30" spans="1:4" ht="153" x14ac:dyDescent="0.2">
      <c r="A30" s="6">
        <v>5.4</v>
      </c>
      <c r="B30" s="7" t="s">
        <v>60</v>
      </c>
      <c r="C30" s="8" t="s">
        <v>24</v>
      </c>
      <c r="D30" s="9" t="s">
        <v>188</v>
      </c>
    </row>
    <row r="31" spans="1:4" ht="63.75" x14ac:dyDescent="0.2">
      <c r="A31" s="6">
        <v>5.5</v>
      </c>
      <c r="B31" s="7" t="s">
        <v>61</v>
      </c>
      <c r="C31" s="8" t="s">
        <v>62</v>
      </c>
      <c r="D31" s="9" t="s">
        <v>190</v>
      </c>
    </row>
    <row r="32" spans="1:4" x14ac:dyDescent="0.2">
      <c r="A32" s="4">
        <v>6</v>
      </c>
      <c r="B32" s="5" t="s">
        <v>63</v>
      </c>
      <c r="C32" s="5"/>
      <c r="D32" s="5"/>
    </row>
    <row r="33" spans="1:5" ht="153" x14ac:dyDescent="0.2">
      <c r="A33" s="6">
        <v>6.1</v>
      </c>
      <c r="B33" s="7" t="s">
        <v>64</v>
      </c>
      <c r="C33" s="8" t="s">
        <v>24</v>
      </c>
      <c r="D33" s="9" t="s">
        <v>191</v>
      </c>
    </row>
    <row r="34" spans="1:5" ht="36" x14ac:dyDescent="0.2">
      <c r="A34" s="4">
        <v>7</v>
      </c>
      <c r="B34" s="5" t="s">
        <v>65</v>
      </c>
      <c r="C34" s="12" t="s">
        <v>66</v>
      </c>
      <c r="D34" s="12" t="s">
        <v>67</v>
      </c>
      <c r="E34" s="12" t="s">
        <v>68</v>
      </c>
    </row>
    <row r="35" spans="1:5" x14ac:dyDescent="0.2">
      <c r="A35" s="4">
        <v>7.1</v>
      </c>
      <c r="B35" s="5" t="s">
        <v>69</v>
      </c>
      <c r="C35" s="5"/>
      <c r="D35" s="5"/>
      <c r="E35" s="5"/>
    </row>
    <row r="36" spans="1:5" ht="12.75" x14ac:dyDescent="0.2">
      <c r="A36" s="13" t="s">
        <v>70</v>
      </c>
      <c r="B36" s="3" t="s">
        <v>71</v>
      </c>
      <c r="C36" s="14">
        <v>70</v>
      </c>
      <c r="D36" s="9" t="s">
        <v>72</v>
      </c>
      <c r="E36" s="14">
        <v>15</v>
      </c>
    </row>
    <row r="37" spans="1:5" ht="12.75" x14ac:dyDescent="0.2">
      <c r="A37" s="13" t="s">
        <v>73</v>
      </c>
      <c r="B37" s="3" t="s">
        <v>74</v>
      </c>
      <c r="C37" s="14">
        <v>20</v>
      </c>
      <c r="D37" s="9" t="s">
        <v>72</v>
      </c>
      <c r="E37" s="14">
        <v>8</v>
      </c>
    </row>
    <row r="38" spans="1:5" ht="12.75" x14ac:dyDescent="0.2">
      <c r="A38" s="13" t="s">
        <v>75</v>
      </c>
      <c r="B38" s="3" t="s">
        <v>76</v>
      </c>
      <c r="C38" s="14">
        <v>80</v>
      </c>
      <c r="D38" s="9" t="s">
        <v>72</v>
      </c>
      <c r="E38" s="14">
        <v>40</v>
      </c>
    </row>
    <row r="39" spans="1:5" ht="12.75" x14ac:dyDescent="0.2">
      <c r="A39" s="13" t="s">
        <v>77</v>
      </c>
      <c r="B39" s="3" t="s">
        <v>78</v>
      </c>
      <c r="C39" s="14">
        <v>18</v>
      </c>
      <c r="D39" s="9" t="s">
        <v>72</v>
      </c>
      <c r="E39" s="14">
        <v>14</v>
      </c>
    </row>
    <row r="40" spans="1:5" ht="12.75" x14ac:dyDescent="0.2">
      <c r="A40" s="13" t="s">
        <v>79</v>
      </c>
      <c r="B40" s="3" t="s">
        <v>80</v>
      </c>
      <c r="C40" s="14">
        <v>0</v>
      </c>
      <c r="D40" s="9"/>
      <c r="E40" s="14"/>
    </row>
    <row r="41" spans="1:5" ht="12.75" x14ac:dyDescent="0.2">
      <c r="A41" s="13" t="s">
        <v>81</v>
      </c>
      <c r="B41" s="3" t="s">
        <v>82</v>
      </c>
      <c r="C41" s="14">
        <v>40</v>
      </c>
      <c r="D41" s="9" t="s">
        <v>72</v>
      </c>
      <c r="E41" s="14">
        <v>14</v>
      </c>
    </row>
    <row r="42" spans="1:5" ht="12.75" x14ac:dyDescent="0.2">
      <c r="A42" s="13"/>
      <c r="B42" s="3"/>
      <c r="C42" s="15">
        <f>SUM(C36:C41)</f>
        <v>228</v>
      </c>
      <c r="D42" s="15">
        <f>SUM(D36:D41)</f>
        <v>0</v>
      </c>
      <c r="E42" s="15">
        <f t="shared" ref="E42" si="0">SUM(E36:E41)</f>
        <v>91</v>
      </c>
    </row>
    <row r="43" spans="1:5" x14ac:dyDescent="0.2">
      <c r="A43" s="4">
        <v>7.2</v>
      </c>
      <c r="B43" s="5" t="s">
        <v>83</v>
      </c>
      <c r="C43" s="5"/>
      <c r="D43" s="5"/>
      <c r="E43" s="5"/>
    </row>
    <row r="44" spans="1:5" ht="12.75" x14ac:dyDescent="0.2">
      <c r="A44" s="13" t="s">
        <v>84</v>
      </c>
      <c r="B44" s="3" t="s">
        <v>85</v>
      </c>
      <c r="C44" s="14">
        <v>10</v>
      </c>
      <c r="D44" s="9" t="s">
        <v>86</v>
      </c>
      <c r="E44" s="14">
        <v>4</v>
      </c>
    </row>
    <row r="45" spans="1:5" ht="12.75" x14ac:dyDescent="0.2">
      <c r="A45" s="13" t="s">
        <v>87</v>
      </c>
      <c r="B45" s="3" t="s">
        <v>88</v>
      </c>
      <c r="C45" s="14">
        <v>12</v>
      </c>
      <c r="D45" s="9" t="s">
        <v>72</v>
      </c>
      <c r="E45" s="14">
        <v>2</v>
      </c>
    </row>
    <row r="46" spans="1:5" ht="12.75" x14ac:dyDescent="0.2">
      <c r="A46" s="13" t="s">
        <v>89</v>
      </c>
      <c r="B46" s="3" t="s">
        <v>90</v>
      </c>
      <c r="C46" s="14">
        <v>0</v>
      </c>
      <c r="D46" s="9"/>
      <c r="E46" s="14"/>
    </row>
    <row r="47" spans="1:5" ht="12.75" x14ac:dyDescent="0.2">
      <c r="A47" s="13" t="s">
        <v>91</v>
      </c>
      <c r="B47" s="3" t="s">
        <v>92</v>
      </c>
      <c r="C47" s="14">
        <v>0</v>
      </c>
      <c r="D47" s="9"/>
      <c r="E47" s="14"/>
    </row>
    <row r="48" spans="1:5" ht="12.75" x14ac:dyDescent="0.2">
      <c r="A48" s="13" t="s">
        <v>93</v>
      </c>
      <c r="B48" s="3" t="s">
        <v>94</v>
      </c>
      <c r="C48" s="14">
        <v>0</v>
      </c>
      <c r="D48" s="9"/>
      <c r="E48" s="14"/>
    </row>
    <row r="49" spans="1:12" ht="12.75" x14ac:dyDescent="0.2">
      <c r="A49" s="13" t="s">
        <v>95</v>
      </c>
      <c r="B49" s="3" t="s">
        <v>96</v>
      </c>
      <c r="C49" s="14">
        <v>50</v>
      </c>
      <c r="D49" s="9" t="s">
        <v>72</v>
      </c>
      <c r="E49" s="14">
        <v>15</v>
      </c>
    </row>
    <row r="50" spans="1:12" ht="12.75" x14ac:dyDescent="0.2">
      <c r="A50" s="13" t="s">
        <v>97</v>
      </c>
      <c r="B50" s="3" t="s">
        <v>98</v>
      </c>
      <c r="C50" s="14">
        <v>0</v>
      </c>
      <c r="D50" s="9"/>
      <c r="E50" s="14"/>
    </row>
    <row r="51" spans="1:12" ht="12.75" x14ac:dyDescent="0.2">
      <c r="A51" s="13" t="s">
        <v>99</v>
      </c>
      <c r="B51" s="3" t="s">
        <v>100</v>
      </c>
      <c r="C51" s="14">
        <v>300</v>
      </c>
      <c r="D51" s="9" t="s">
        <v>86</v>
      </c>
      <c r="E51" s="14">
        <v>40</v>
      </c>
    </row>
    <row r="52" spans="1:12" ht="12.75" x14ac:dyDescent="0.2">
      <c r="A52" s="13" t="s">
        <v>101</v>
      </c>
      <c r="B52" s="3" t="s">
        <v>92</v>
      </c>
      <c r="C52" s="14">
        <v>0</v>
      </c>
      <c r="D52" s="9"/>
      <c r="E52" s="14"/>
    </row>
    <row r="53" spans="1:12" ht="12.75" x14ac:dyDescent="0.2">
      <c r="A53" s="13" t="s">
        <v>102</v>
      </c>
      <c r="B53" s="3" t="s">
        <v>103</v>
      </c>
      <c r="C53" s="14">
        <v>0</v>
      </c>
      <c r="D53" s="9"/>
      <c r="E53" s="14"/>
    </row>
    <row r="54" spans="1:12" ht="12.75" x14ac:dyDescent="0.2">
      <c r="A54" s="13" t="s">
        <v>104</v>
      </c>
      <c r="B54" s="3" t="s">
        <v>105</v>
      </c>
      <c r="C54" s="14">
        <v>0</v>
      </c>
      <c r="D54" s="9"/>
      <c r="E54" s="14"/>
    </row>
    <row r="55" spans="1:12" ht="12.75" x14ac:dyDescent="0.2">
      <c r="A55" s="13"/>
      <c r="B55" s="3"/>
      <c r="C55" s="15">
        <f>SUM(C44:C54)</f>
        <v>372</v>
      </c>
      <c r="D55" s="15">
        <f t="shared" ref="D55:E55" si="1">SUM(D44:D54)</f>
        <v>0</v>
      </c>
      <c r="E55" s="15">
        <f t="shared" si="1"/>
        <v>61</v>
      </c>
    </row>
    <row r="56" spans="1:12" ht="63.75" x14ac:dyDescent="0.2">
      <c r="A56" s="3">
        <v>7.3</v>
      </c>
      <c r="B56" s="16" t="s">
        <v>106</v>
      </c>
      <c r="C56" s="9" t="s">
        <v>107</v>
      </c>
    </row>
    <row r="57" spans="1:12" ht="36.6" customHeight="1" x14ac:dyDescent="0.2">
      <c r="A57" s="3">
        <v>7.4</v>
      </c>
      <c r="B57" s="16" t="s">
        <v>108</v>
      </c>
      <c r="C57" s="9" t="s">
        <v>195</v>
      </c>
      <c r="D57" s="17" t="s">
        <v>109</v>
      </c>
    </row>
    <row r="58" spans="1:12" ht="36.6" customHeight="1" x14ac:dyDescent="0.2">
      <c r="A58" s="18">
        <v>8</v>
      </c>
      <c r="B58" s="19" t="s">
        <v>110</v>
      </c>
      <c r="C58" s="9" t="s">
        <v>195</v>
      </c>
      <c r="D58" s="17" t="s">
        <v>111</v>
      </c>
      <c r="F58" s="20"/>
      <c r="I58" s="21"/>
      <c r="J58" s="21"/>
      <c r="K58" s="21"/>
      <c r="L58" s="20"/>
    </row>
    <row r="59" spans="1:12" s="23" customFormat="1" ht="76.5" x14ac:dyDescent="0.2">
      <c r="A59" s="4">
        <v>9</v>
      </c>
      <c r="B59" s="5" t="s">
        <v>112</v>
      </c>
      <c r="C59" s="9" t="s">
        <v>197</v>
      </c>
      <c r="D59" s="22"/>
      <c r="E59" s="22"/>
      <c r="F59" s="22"/>
    </row>
  </sheetData>
  <sheetProtection algorithmName="SHA-512" hashValue="1wBzhzBAF2vbE/OUstEMrAeQ59R9CrfvOr1jdMa82eUFwD3x+AcbU0+gSBIbJpf8yfXLH7Tx4ysn4XhToiIALQ==" saltValue="gYbJdT0JbVSJM/1kiXSBjg==" spinCount="100000" sheet="1" objects="1" scenarios="1" selectLockedCells="1"/>
  <dataValidations xWindow="1235" yWindow="550" count="4">
    <dataValidation type="whole" allowBlank="1" showErrorMessage="1" error="Please choose a number" prompt="Please add a value between 0 and 1000000" sqref="C36:C42 E44:E55 D42 E36:E42 C44:C55 D55" xr:uid="{00000000-0002-0000-0100-000000000000}">
      <formula1>0</formula1>
      <formula2>1000000</formula2>
    </dataValidation>
    <dataValidation type="textLength" allowBlank="1" showInputMessage="1" showErrorMessage="1" error="The character limit has been exceeded" prompt="Please provide a precise and concise answer" sqref="D33 D3:D5 D7:D14 D17:D23 D25 D27:D31 C56:C59" xr:uid="{00000000-0002-0000-0100-000001000000}">
      <formula1>1</formula1>
      <formula2>2000</formula2>
    </dataValidation>
    <dataValidation type="list" allowBlank="1" showInputMessage="1" showErrorMessage="1" error="Please choose your response from the dropdown list" sqref="C3:C5 C7:C14 C17:C23 C25 C27:C31 C33" xr:uid="{00000000-0002-0000-0100-000002000000}">
      <formula1>"In-house, Third-party"</formula1>
    </dataValidation>
    <dataValidation type="list" allowBlank="1" showInputMessage="1" showErrorMessage="1" error="Please choose your response from the dropdown list" sqref="D36:D41 D44:D54" xr:uid="{00000000-0002-0000-0100-000003000000}">
      <formula1>"96, 384, 1536, All format"</formula1>
    </dataValidation>
  </dataValidations>
  <pageMargins left="0.7" right="0.7" top="0.75" bottom="0.75" header="0.3" footer="0.3"/>
  <pageSetup paperSize="9" orientation="portrait" r:id="rId1"/>
  <customProperties>
    <customPr name="EpmWorksheetKeyString_GUID" r:id="rId2"/>
  </customProperties>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6"/>
  <sheetViews>
    <sheetView topLeftCell="A4" zoomScale="70" zoomScaleNormal="70" workbookViewId="0">
      <selection activeCell="H13" sqref="H13"/>
    </sheetView>
  </sheetViews>
  <sheetFormatPr defaultColWidth="8.7109375" defaultRowHeight="12" x14ac:dyDescent="0.2"/>
  <cols>
    <col min="1" max="1" width="7.7109375" style="3" customWidth="1"/>
    <col min="2" max="2" width="15.28515625" style="25" customWidth="1"/>
    <col min="3" max="4" width="51.140625" style="25" customWidth="1"/>
    <col min="5" max="9" width="23.28515625" style="25" customWidth="1"/>
    <col min="10" max="10" width="21.5703125" style="25" customWidth="1"/>
    <col min="11" max="14" width="8.7109375" style="25" customWidth="1"/>
    <col min="15" max="16384" width="8.7109375" style="3"/>
  </cols>
  <sheetData>
    <row r="1" spans="1:14" ht="36" x14ac:dyDescent="0.2">
      <c r="A1" s="1" t="s">
        <v>113</v>
      </c>
      <c r="B1" s="24" t="s">
        <v>114</v>
      </c>
      <c r="C1" s="24" t="s">
        <v>115</v>
      </c>
      <c r="D1" s="24"/>
      <c r="E1" s="24"/>
      <c r="F1" s="24"/>
      <c r="G1" s="24"/>
      <c r="H1" s="24"/>
      <c r="I1" s="24"/>
      <c r="J1" s="24"/>
    </row>
    <row r="2" spans="1:14" ht="48" x14ac:dyDescent="0.2">
      <c r="A2" s="26">
        <v>1</v>
      </c>
      <c r="B2" s="27" t="s">
        <v>116</v>
      </c>
      <c r="C2" s="27" t="s">
        <v>117</v>
      </c>
      <c r="D2" s="27" t="s">
        <v>118</v>
      </c>
      <c r="E2" s="28" t="s">
        <v>119</v>
      </c>
      <c r="F2" s="27" t="s">
        <v>120</v>
      </c>
      <c r="G2" s="27" t="s">
        <v>121</v>
      </c>
      <c r="H2" s="27" t="s">
        <v>122</v>
      </c>
      <c r="I2" s="27" t="s">
        <v>123</v>
      </c>
      <c r="J2" s="27" t="s">
        <v>124</v>
      </c>
    </row>
    <row r="3" spans="1:14" ht="144" x14ac:dyDescent="0.2">
      <c r="A3" s="29">
        <v>1.1000000000000001</v>
      </c>
      <c r="B3" s="30" t="s">
        <v>125</v>
      </c>
      <c r="C3" s="30" t="s">
        <v>126</v>
      </c>
      <c r="D3" s="30" t="s">
        <v>127</v>
      </c>
      <c r="E3" s="31">
        <f>(G3*H3)+(I3+J3)</f>
        <v>504</v>
      </c>
      <c r="F3" s="32">
        <v>10</v>
      </c>
      <c r="G3" s="32">
        <v>17</v>
      </c>
      <c r="H3" s="32">
        <v>8</v>
      </c>
      <c r="I3" s="32">
        <v>200</v>
      </c>
      <c r="J3" s="32">
        <v>168</v>
      </c>
    </row>
    <row r="4" spans="1:14" ht="84" x14ac:dyDescent="0.2">
      <c r="A4" s="29">
        <v>1.2</v>
      </c>
      <c r="B4" s="30" t="s">
        <v>128</v>
      </c>
      <c r="C4" s="30" t="s">
        <v>129</v>
      </c>
      <c r="D4" s="30" t="s">
        <v>130</v>
      </c>
      <c r="E4" s="31">
        <f t="shared" ref="E4:E7" si="0">(G4*H4)+(I4+J4)</f>
        <v>774</v>
      </c>
      <c r="F4" s="32">
        <v>10</v>
      </c>
      <c r="G4" s="32">
        <v>17</v>
      </c>
      <c r="H4" s="32">
        <v>8</v>
      </c>
      <c r="I4" s="32">
        <v>470</v>
      </c>
      <c r="J4" s="32">
        <v>168</v>
      </c>
    </row>
    <row r="5" spans="1:14" ht="96" x14ac:dyDescent="0.2">
      <c r="A5" s="29">
        <v>1.3</v>
      </c>
      <c r="B5" s="30" t="s">
        <v>131</v>
      </c>
      <c r="C5" s="30" t="s">
        <v>132</v>
      </c>
      <c r="D5" s="30" t="s">
        <v>133</v>
      </c>
      <c r="E5" s="31">
        <f t="shared" si="0"/>
        <v>924</v>
      </c>
      <c r="F5" s="32">
        <v>10</v>
      </c>
      <c r="G5" s="32">
        <v>17</v>
      </c>
      <c r="H5" s="32">
        <v>8</v>
      </c>
      <c r="I5" s="32">
        <v>620</v>
      </c>
      <c r="J5" s="32">
        <v>168</v>
      </c>
    </row>
    <row r="6" spans="1:14" ht="120" x14ac:dyDescent="0.2">
      <c r="A6" s="29">
        <v>1.4</v>
      </c>
      <c r="B6" s="30" t="s">
        <v>134</v>
      </c>
      <c r="C6" s="30" t="s">
        <v>135</v>
      </c>
      <c r="D6" s="30" t="s">
        <v>136</v>
      </c>
      <c r="E6" s="31">
        <f t="shared" si="0"/>
        <v>1038</v>
      </c>
      <c r="F6" s="32">
        <v>20</v>
      </c>
      <c r="G6" s="32">
        <v>17</v>
      </c>
      <c r="H6" s="32">
        <v>16</v>
      </c>
      <c r="I6" s="32">
        <v>430</v>
      </c>
      <c r="J6" s="32">
        <v>336</v>
      </c>
    </row>
    <row r="7" spans="1:14" ht="132" x14ac:dyDescent="0.2">
      <c r="A7" s="29">
        <v>1.5</v>
      </c>
      <c r="B7" s="30" t="s">
        <v>137</v>
      </c>
      <c r="C7" s="30" t="s">
        <v>138</v>
      </c>
      <c r="D7" s="30" t="s">
        <v>139</v>
      </c>
      <c r="E7" s="31">
        <f t="shared" si="0"/>
        <v>974</v>
      </c>
      <c r="F7" s="32">
        <v>15</v>
      </c>
      <c r="G7" s="32">
        <v>17</v>
      </c>
      <c r="H7" s="32">
        <v>8</v>
      </c>
      <c r="I7" s="32">
        <v>670</v>
      </c>
      <c r="J7" s="32">
        <v>168</v>
      </c>
    </row>
    <row r="8" spans="1:14" ht="229.5" x14ac:dyDescent="0.2">
      <c r="A8" s="29">
        <v>1.6</v>
      </c>
      <c r="B8" s="33" t="s">
        <v>140</v>
      </c>
      <c r="C8" s="29"/>
      <c r="D8" s="30"/>
      <c r="E8" s="34" t="s">
        <v>141</v>
      </c>
      <c r="G8" s="35"/>
    </row>
    <row r="9" spans="1:14" ht="178.5" x14ac:dyDescent="0.2">
      <c r="A9" s="29">
        <v>1.7</v>
      </c>
      <c r="B9" s="33" t="s">
        <v>142</v>
      </c>
      <c r="C9" s="30"/>
      <c r="D9" s="30"/>
      <c r="E9" s="34" t="s">
        <v>143</v>
      </c>
      <c r="G9" s="35"/>
    </row>
    <row r="10" spans="1:14" ht="24" x14ac:dyDescent="0.2">
      <c r="A10" s="1">
        <v>2</v>
      </c>
      <c r="B10" s="24" t="s">
        <v>144</v>
      </c>
      <c r="C10" s="24"/>
      <c r="D10" s="24"/>
      <c r="E10" s="24"/>
      <c r="F10" s="24"/>
      <c r="G10" s="24"/>
      <c r="H10" s="36"/>
      <c r="I10" s="35"/>
    </row>
    <row r="11" spans="1:14" ht="216" x14ac:dyDescent="0.2">
      <c r="A11" s="29"/>
      <c r="B11" s="30" t="s">
        <v>145</v>
      </c>
      <c r="C11" s="30" t="s">
        <v>146</v>
      </c>
      <c r="D11" s="30" t="s">
        <v>147</v>
      </c>
      <c r="E11" s="30" t="s">
        <v>148</v>
      </c>
      <c r="F11" s="30" t="s">
        <v>149</v>
      </c>
      <c r="G11" s="30" t="s">
        <v>150</v>
      </c>
      <c r="H11" s="35"/>
      <c r="I11" s="35"/>
    </row>
    <row r="12" spans="1:14" ht="72" x14ac:dyDescent="0.2">
      <c r="A12" s="26">
        <v>2.1</v>
      </c>
      <c r="B12" s="27" t="s">
        <v>116</v>
      </c>
      <c r="C12" s="27" t="s">
        <v>151</v>
      </c>
      <c r="D12" s="27" t="s">
        <v>152</v>
      </c>
      <c r="E12" s="27" t="s">
        <v>153</v>
      </c>
      <c r="F12" s="27" t="s">
        <v>154</v>
      </c>
      <c r="G12" s="27" t="s">
        <v>155</v>
      </c>
      <c r="H12" s="27" t="s">
        <v>156</v>
      </c>
      <c r="I12" s="35"/>
      <c r="N12" s="3"/>
    </row>
    <row r="13" spans="1:14" ht="204" x14ac:dyDescent="0.2">
      <c r="A13" s="37" t="s">
        <v>157</v>
      </c>
      <c r="B13" s="30" t="s">
        <v>125</v>
      </c>
      <c r="C13" s="30" t="s">
        <v>158</v>
      </c>
      <c r="D13" s="30" t="s">
        <v>159</v>
      </c>
      <c r="E13" s="32">
        <v>32</v>
      </c>
      <c r="F13" s="34" t="s">
        <v>198</v>
      </c>
      <c r="G13" s="32"/>
      <c r="H13" s="34" t="s">
        <v>200</v>
      </c>
      <c r="N13" s="3"/>
    </row>
    <row r="14" spans="1:14" ht="204" x14ac:dyDescent="0.2">
      <c r="A14" s="37" t="s">
        <v>160</v>
      </c>
      <c r="B14" s="30" t="s">
        <v>128</v>
      </c>
      <c r="C14" s="30" t="s">
        <v>158</v>
      </c>
      <c r="D14" s="30" t="s">
        <v>159</v>
      </c>
      <c r="E14" s="32">
        <v>48</v>
      </c>
      <c r="F14" s="34" t="s">
        <v>199</v>
      </c>
      <c r="G14" s="32"/>
      <c r="H14" s="34" t="s">
        <v>201</v>
      </c>
      <c r="N14" s="3"/>
    </row>
    <row r="15" spans="1:14" ht="204" x14ac:dyDescent="0.2">
      <c r="A15" s="37" t="s">
        <v>161</v>
      </c>
      <c r="B15" s="30" t="s">
        <v>131</v>
      </c>
      <c r="C15" s="30" t="s">
        <v>158</v>
      </c>
      <c r="D15" s="30" t="s">
        <v>159</v>
      </c>
      <c r="E15" s="32">
        <v>42</v>
      </c>
      <c r="F15" s="34" t="s">
        <v>199</v>
      </c>
      <c r="G15" s="32"/>
      <c r="H15" s="34" t="s">
        <v>202</v>
      </c>
    </row>
    <row r="16" spans="1:14" ht="280.5" x14ac:dyDescent="0.2">
      <c r="A16" s="37" t="s">
        <v>162</v>
      </c>
      <c r="B16" s="30" t="s">
        <v>134</v>
      </c>
      <c r="C16" s="30" t="s">
        <v>158</v>
      </c>
      <c r="D16" s="30" t="s">
        <v>159</v>
      </c>
      <c r="E16" s="32">
        <v>47</v>
      </c>
      <c r="F16" s="34" t="s">
        <v>199</v>
      </c>
      <c r="G16" s="32"/>
      <c r="H16" s="34" t="s">
        <v>203</v>
      </c>
    </row>
    <row r="17" spans="1:8" ht="280.5" x14ac:dyDescent="0.2">
      <c r="A17" s="37" t="s">
        <v>163</v>
      </c>
      <c r="B17" s="30" t="s">
        <v>137</v>
      </c>
      <c r="C17" s="30" t="s">
        <v>158</v>
      </c>
      <c r="D17" s="30" t="s">
        <v>159</v>
      </c>
      <c r="E17" s="32">
        <v>44</v>
      </c>
      <c r="F17" s="34" t="s">
        <v>199</v>
      </c>
      <c r="G17" s="32"/>
      <c r="H17" s="34" t="s">
        <v>203</v>
      </c>
    </row>
    <row r="18" spans="1:8" ht="191.25" x14ac:dyDescent="0.2">
      <c r="A18" s="37" t="s">
        <v>164</v>
      </c>
      <c r="B18" s="33" t="s">
        <v>165</v>
      </c>
      <c r="C18" s="29"/>
      <c r="D18" s="30"/>
      <c r="E18" s="38" t="s">
        <v>166</v>
      </c>
      <c r="F18" s="38" t="s">
        <v>167</v>
      </c>
    </row>
    <row r="19" spans="1:8" ht="210" x14ac:dyDescent="0.2">
      <c r="A19" s="37" t="s">
        <v>168</v>
      </c>
      <c r="B19" s="33" t="s">
        <v>169</v>
      </c>
      <c r="C19" s="30"/>
      <c r="D19" s="30"/>
      <c r="E19" s="59" t="s">
        <v>143</v>
      </c>
      <c r="F19" s="39" t="s">
        <v>170</v>
      </c>
    </row>
    <row r="20" spans="1:8" x14ac:dyDescent="0.2">
      <c r="B20" s="35"/>
      <c r="C20" s="35"/>
      <c r="D20" s="35"/>
      <c r="E20" s="35"/>
      <c r="F20" s="35"/>
      <c r="G20" s="35"/>
    </row>
    <row r="21" spans="1:8" x14ac:dyDescent="0.2">
      <c r="A21" s="1">
        <v>3</v>
      </c>
      <c r="B21" s="40" t="s">
        <v>171</v>
      </c>
      <c r="C21" s="2"/>
      <c r="D21" s="2"/>
    </row>
    <row r="22" spans="1:8" ht="24" x14ac:dyDescent="0.2">
      <c r="A22" s="41" t="s">
        <v>172</v>
      </c>
      <c r="B22" s="42" t="s">
        <v>173</v>
      </c>
      <c r="C22" s="42" t="s">
        <v>174</v>
      </c>
      <c r="D22" s="42" t="s">
        <v>175</v>
      </c>
    </row>
    <row r="23" spans="1:8" ht="12.75" x14ac:dyDescent="0.2">
      <c r="A23" s="29">
        <v>3.1</v>
      </c>
      <c r="B23" s="29" t="s">
        <v>176</v>
      </c>
      <c r="C23" s="32">
        <v>9000</v>
      </c>
      <c r="D23" s="32">
        <v>6</v>
      </c>
    </row>
    <row r="24" spans="1:8" ht="12.75" x14ac:dyDescent="0.2">
      <c r="A24" s="29">
        <v>3.2</v>
      </c>
      <c r="B24" s="29" t="s">
        <v>177</v>
      </c>
      <c r="C24" s="32">
        <v>12500</v>
      </c>
      <c r="D24" s="32">
        <v>8</v>
      </c>
    </row>
    <row r="25" spans="1:8" ht="12.75" x14ac:dyDescent="0.2">
      <c r="A25" s="29">
        <v>3.3</v>
      </c>
      <c r="B25" s="29" t="s">
        <v>178</v>
      </c>
      <c r="C25" s="32">
        <v>0</v>
      </c>
      <c r="D25" s="32">
        <v>0</v>
      </c>
    </row>
    <row r="26" spans="1:8" ht="12.75" x14ac:dyDescent="0.2">
      <c r="A26" s="29">
        <v>3.4</v>
      </c>
      <c r="B26" s="29" t="s">
        <v>179</v>
      </c>
      <c r="C26" s="32">
        <v>12000</v>
      </c>
      <c r="D26" s="32">
        <v>5</v>
      </c>
    </row>
  </sheetData>
  <sheetProtection algorithmName="SHA-512" hashValue="SZ1dhuAz9BS7zsZdxFf5iCMtuILHBrA0wiIhEolelji7ZA9F9JyuektyOR9xzjVYoyRR4CsdE/XX+FmwZDKksg==" saltValue="7wWjbWHsnx1hbOc7Qh7FjQ==" spinCount="100000" sheet="1" objects="1" scenarios="1" selectLockedCells="1"/>
  <dataValidations count="3">
    <dataValidation type="textLength" allowBlank="1" showInputMessage="1" showErrorMessage="1" error="The character limit has been exceeded" prompt="Please provide a precise and concise answer" sqref="F13:F17 H13:H17" xr:uid="{00000000-0002-0000-0200-000000000000}">
      <formula1>1</formula1>
      <formula2>1000</formula2>
    </dataValidation>
    <dataValidation type="textLength" allowBlank="1" showInputMessage="1" showErrorMessage="1" error="The character limit has been exceeded" prompt="Please provide a precise and concise answer" sqref="E8:E9 F18:F19 E18" xr:uid="{00000000-0002-0000-0200-000001000000}">
      <formula1>1</formula1>
      <formula2>2000</formula2>
    </dataValidation>
    <dataValidation type="whole" allowBlank="1" showErrorMessage="1" error="Please choose a number" prompt="Please add a value between 0 and 1000000" sqref="C23:D26 G13:G17 E13:E17 E3:J7" xr:uid="{00000000-0002-0000-0200-000002000000}">
      <formula1>0</formula1>
      <formula2>1000000</formula2>
    </dataValidation>
  </dataValidations>
  <pageMargins left="0.7" right="0.7" top="0.75" bottom="0.75" header="0.3" footer="0.3"/>
  <pageSetup paperSize="9" orientation="portrait" r:id="rId1"/>
  <customProperties>
    <customPr name="EpmWorksheetKeyString_GUID"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0" ma:contentTypeDescription="Create a new document." ma:contentTypeScope="" ma:versionID="03b9b22d68570d009c2cab09ae683d4c">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558EEC-03E0-4D0A-BCBF-A032683161AA}"/>
</file>

<file path=customXml/itemProps2.xml><?xml version="1.0" encoding="utf-8"?>
<ds:datastoreItem xmlns:ds="http://schemas.openxmlformats.org/officeDocument/2006/customXml" ds:itemID="{5FCE9C2B-FD68-4164-AEFC-F48F3E42AE1F}">
  <ds:schemaRefs>
    <ds:schemaRef ds:uri="http://purl.org/dc/elements/1.1/"/>
    <ds:schemaRef ds:uri="edf121a8-3aad-4cdc-867a-53333ab4fc95"/>
    <ds:schemaRef ds:uri="http://schemas.openxmlformats.org/package/2006/metadata/core-properties"/>
    <ds:schemaRef ds:uri="http://www.w3.org/XML/1998/namespace"/>
    <ds:schemaRef ds:uri="92906c92-cb88-4e8e-89af-e8e8a5e6aa78"/>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B50BA8FC-9FC3-4537-836C-C3C0D44F91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Response Instructions</vt:lpstr>
      <vt:lpstr>In-vitro pharma-Questionnaire</vt:lpstr>
      <vt:lpstr>In-vitro pharmacology-Pricing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Fernandez Amoruso, Juan Manuel</dc:creator>
  <cp:keywords/>
  <dc:description/>
  <cp:lastModifiedBy>R Srinivasan</cp:lastModifiedBy>
  <cp:revision/>
  <dcterms:created xsi:type="dcterms:W3CDTF">2023-07-31T11:24:30Z</dcterms:created>
  <dcterms:modified xsi:type="dcterms:W3CDTF">2023-09-04T05:53:02Z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bec58-8084-492e-8360-0e1cfe36408c_Enabled">
    <vt:lpwstr>true</vt:lpwstr>
  </property>
  <property fmtid="{D5CDD505-2E9C-101B-9397-08002B2CF9AE}" pid="3" name="MSIP_Label_3c9bec58-8084-492e-8360-0e1cfe36408c_SetDate">
    <vt:lpwstr>2023-07-31T11:24:31Z</vt:lpwstr>
  </property>
  <property fmtid="{D5CDD505-2E9C-101B-9397-08002B2CF9AE}" pid="4" name="MSIP_Label_3c9bec58-8084-492e-8360-0e1cfe36408c_Method">
    <vt:lpwstr>Standard</vt:lpwstr>
  </property>
  <property fmtid="{D5CDD505-2E9C-101B-9397-08002B2CF9AE}" pid="5" name="MSIP_Label_3c9bec58-8084-492e-8360-0e1cfe36408c_Name">
    <vt:lpwstr>Not Protected -Pilot</vt:lpwstr>
  </property>
  <property fmtid="{D5CDD505-2E9C-101B-9397-08002B2CF9AE}" pid="6" name="MSIP_Label_3c9bec58-8084-492e-8360-0e1cfe36408c_SiteId">
    <vt:lpwstr>f35a6974-607f-47d4-82d7-ff31d7dc53a5</vt:lpwstr>
  </property>
  <property fmtid="{D5CDD505-2E9C-101B-9397-08002B2CF9AE}" pid="7" name="MSIP_Label_3c9bec58-8084-492e-8360-0e1cfe36408c_ActionId">
    <vt:lpwstr>157ee52a-cffb-4ec9-8a0a-d177fc7758cd</vt:lpwstr>
  </property>
  <property fmtid="{D5CDD505-2E9C-101B-9397-08002B2CF9AE}" pid="8" name="MSIP_Label_3c9bec58-8084-492e-8360-0e1cfe36408c_ContentBits">
    <vt:lpwstr>0</vt:lpwstr>
  </property>
  <property fmtid="{D5CDD505-2E9C-101B-9397-08002B2CF9AE}" pid="9" name="ContentTypeId">
    <vt:lpwstr>0x0101005203151AFA249B409411D2EE7B6D3581</vt:lpwstr>
  </property>
  <property fmtid="{D5CDD505-2E9C-101B-9397-08002B2CF9AE}" pid="10" name="MediaServiceImageTags">
    <vt:lpwstr/>
  </property>
</Properties>
</file>