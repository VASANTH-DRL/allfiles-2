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90022838\Desktop\master_dataset\all_files2\"/>
    </mc:Choice>
  </mc:AlternateContent>
  <workbookProtection workbookAlgorithmName="SHA-512" workbookHashValue="ZFQJVZgbKKok/1RM6+t35hcNMWIgbMB+fsCzDmiwZ8ILsvZQOSRe3XSo9BQ7b84uaDwyqMQKpK3Yay5rKOGCuA==" workbookSaltValue="kcNJVB56edzMEJQZd8lQaw==" workbookSpinCount="100000" lockStructure="1"/>
  <bookViews>
    <workbookView xWindow="-120" yWindow="-120" windowWidth="20730" windowHeight="11160" activeTab="1"/>
  </bookViews>
  <sheets>
    <sheet name="Response Instructions" sheetId="2" r:id="rId1"/>
    <sheet name="Chemistry-Questionnaire" sheetId="1" r:id="rId2"/>
    <sheet name="Chemistry-Pricing" sheetId="4"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AnimalModel" localSheetId="2">[1]Dropdowns!$H$5:$H$13</definedName>
    <definedName name="_AnimalModel">[2]Dropdowns!$H$5:$H$13</definedName>
    <definedName name="_Anticoagulant" localSheetId="2">[1]Dropdowns!$B$5:$B$7</definedName>
    <definedName name="_Anticoagulant">[2]Dropdowns!$B$5:$B$7</definedName>
    <definedName name="_AssayAbbrev_Sheet11">"MAP PK OTHSP"</definedName>
    <definedName name="_AssayAbbrev_Sheet12">"PKS-GBL PKPD"</definedName>
    <definedName name="_AssayAbbrev_Sheet12_Q022">"MAP-BS PKPD"</definedName>
    <definedName name="_AssayAbbrev_Sheet13">"PKS-GBL PK"</definedName>
    <definedName name="_AssayAbbrev_Sheet14">"PKS PKPD"</definedName>
    <definedName name="_AssayAbbrev_Sheet4">"MAP-BS Brain"</definedName>
    <definedName name="_AssayId_Sheet11">"500000014899"</definedName>
    <definedName name="_AssayId_Sheet12">"500000118009"</definedName>
    <definedName name="_AssayId_Sheet13">"500000118014"</definedName>
    <definedName name="_AssayId_Sheet14">"500000118116"</definedName>
    <definedName name="_AssayId_Sheet4">"298688"</definedName>
    <definedName name="_AssayName_Sheet11">"MAP in vivo PK Other species than mouse, rat, and dog"</definedName>
    <definedName name="_AssayName_Sheet12">"PKS PKPD assessment"</definedName>
    <definedName name="_AssayName_Sheet13">"PKS PK assessment"</definedName>
    <definedName name="_AssayName_Sheet14">"PKS in vivo PKPD"</definedName>
    <definedName name="_AssayName_Sheet4">"MAP-Brain Penetration Assessment 1.0"</definedName>
    <definedName name="_CompoundTypes" localSheetId="2">[1]Dropdowns!$D$5:$D$7</definedName>
    <definedName name="_CompoundTypes">[2]Dropdowns!$D$5:$D$7</definedName>
    <definedName name="_CustomVehicle" localSheetId="2">[1]Dropdowns!$G$43:$G$57</definedName>
    <definedName name="_CustomVehicle">[2]Dropdowns!$G$43:$G$57</definedName>
    <definedName name="_Diet" localSheetId="2">[1]Dropdowns!$O$5:$O$7</definedName>
    <definedName name="_Diet">[2]Dropdowns!$O$5:$O$7</definedName>
    <definedName name="_DosageForm" localSheetId="2">[1]Dropdowns!$N$5:$N$15</definedName>
    <definedName name="_DosageForm">[2]Dropdowns!$N$5:$N$15</definedName>
    <definedName name="_Gender" localSheetId="2">[1]Dropdowns!$A$11:$A$13</definedName>
    <definedName name="_Gender">[2]Dropdowns!$A$11:$A$13</definedName>
    <definedName name="_Matrix" localSheetId="2">[1]Dropdowns!$E$24:$E$90</definedName>
    <definedName name="_Matrix">[2]Dropdowns!$E$24:$E$90</definedName>
    <definedName name="_Priority" localSheetId="2">[1]Dropdowns!$D$11:$D$13</definedName>
    <definedName name="_Priority">[2]Dropdowns!$D$11:$D$13</definedName>
    <definedName name="_Route" localSheetId="2">[1]Dropdowns!$G$5:$G$31</definedName>
    <definedName name="_Route">[2]Dropdowns!$G$5:$G$31</definedName>
    <definedName name="_ScalingFactors" localSheetId="2">'[1]New discovery PK study request'!$S$2:$T$7</definedName>
    <definedName name="_ScalingFactors">'[2]New discovery PK study request'!$S$2:$T$7</definedName>
    <definedName name="_Species" localSheetId="2">[1]Dropdowns!$C$11:$C$18</definedName>
    <definedName name="_Species">[2]Dropdowns!$C$11:$C$18</definedName>
    <definedName name="_Stage" localSheetId="2">[1]Dropdowns!$F$5:$F$15</definedName>
    <definedName name="_Stage">[2]Dropdowns!$F$5:$F$15</definedName>
    <definedName name="_Strain" localSheetId="2">#REF!</definedName>
    <definedName name="_Strain" localSheetId="1">#REF!</definedName>
    <definedName name="_Strain">#REF!</definedName>
    <definedName name="_StudyModel" localSheetId="2">[1]Dropdowns!$I$5:$I$7</definedName>
    <definedName name="_StudyModel">[2]Dropdowns!$I$5:$I$7</definedName>
    <definedName name="_StudyType" localSheetId="2">[1]Dropdowns!$B$11:$B$12</definedName>
    <definedName name="_StudyType">[2]Dropdowns!$B$11:$B$12</definedName>
    <definedName name="_Vehicle" localSheetId="2">[1]Dropdowns!$L$5:$L$11</definedName>
    <definedName name="_Vehicle">[2]Dropdowns!$L$5:$L$11</definedName>
    <definedName name="_YesNo" localSheetId="2">[1]Dropdowns!$A$5:$A$6</definedName>
    <definedName name="_YesNo">[2]Dropdowns!$A$5:$A$6</definedName>
    <definedName name="AnalyticalID" localSheetId="2">[3]General!$E$4</definedName>
    <definedName name="AnalyticalID">[4]General!$E$4</definedName>
    <definedName name="AnimalCombinedExp" localSheetId="2">#REF!</definedName>
    <definedName name="AnimalCombinedExp" localSheetId="1">#REF!</definedName>
    <definedName name="AnimalCombinedExp">#REF!</definedName>
    <definedName name="AnimalCorrTable" localSheetId="1">#REF!</definedName>
    <definedName name="AnimalCorrTable">#REF!</definedName>
    <definedName name="AnimalData1" localSheetId="1">#REF!</definedName>
    <definedName name="AnimalData1">#REF!</definedName>
    <definedName name="AnimalData2" localSheetId="1">#REF!</definedName>
    <definedName name="AnimalData2">#REF!</definedName>
    <definedName name="AnimalData3" localSheetId="1">#REF!</definedName>
    <definedName name="AnimalData3">#REF!</definedName>
    <definedName name="AnimalData4" localSheetId="1">#REF!</definedName>
    <definedName name="AnimalData4">#REF!</definedName>
    <definedName name="AnimalExpNr" localSheetId="1">#REF!</definedName>
    <definedName name="AnimalExpNr">#REF!</definedName>
    <definedName name="AnimalLicense" localSheetId="1">#REF!</definedName>
    <definedName name="AnimalLicense">#REF!</definedName>
    <definedName name="AnimalLicenseNumber" localSheetId="1">#REF!</definedName>
    <definedName name="AnimalLicenseNumber">#REF!</definedName>
    <definedName name="AnimalModel" localSheetId="1">#REF!</definedName>
    <definedName name="AnimalModel">#REF!</definedName>
    <definedName name="AnimalRow11" localSheetId="2">[5]SamplingProtocol!#REF!</definedName>
    <definedName name="AnimalRow11" localSheetId="1">[5]SamplingProtocol!#REF!</definedName>
    <definedName name="AnimalRow11">[5]SamplingProtocol!#REF!</definedName>
    <definedName name="AnimalRow12" localSheetId="2">[5]SamplingProtocol!#REF!</definedName>
    <definedName name="AnimalRow12" localSheetId="1">[5]SamplingProtocol!#REF!</definedName>
    <definedName name="AnimalRow12">[5]SamplingProtocol!#REF!</definedName>
    <definedName name="AnimalRow13" localSheetId="1">[5]SamplingProtocol!#REF!</definedName>
    <definedName name="AnimalRow13">[5]SamplingProtocol!#REF!</definedName>
    <definedName name="Animals" localSheetId="2">[1]Dropdowns!$J$2:INDEX([1]Dropdowns!$J:$J,COUNTA([1]Dropdowns!$J:$J))</definedName>
    <definedName name="Animals">[2]Dropdowns!$J$2:INDEX([2]Dropdowns!$J:$J,COUNTA([2]Dropdowns!$J:$J))</definedName>
    <definedName name="AnimalSources">[6]Hidden!$B$4:$B$7</definedName>
    <definedName name="Anticoagulant" localSheetId="2">#REF!</definedName>
    <definedName name="Anticoagulant" localSheetId="1">#REF!</definedName>
    <definedName name="Anticoagulant">#REF!</definedName>
    <definedName name="Appearance" localSheetId="2">[7]DropDownBoxLists!$H$5:$H$8</definedName>
    <definedName name="Appearance">[8]DropDownBoxLists!$H$5:$H$8</definedName>
    <definedName name="ApplHeader" localSheetId="2">#REF!</definedName>
    <definedName name="ApplHeader" localSheetId="1">#REF!</definedName>
    <definedName name="ApplHeader">#REF!</definedName>
    <definedName name="ApplicationDates" localSheetId="1">#REF!</definedName>
    <definedName name="ApplicationDates">#REF!</definedName>
    <definedName name="ApplicationTable" localSheetId="1">#REF!</definedName>
    <definedName name="ApplicationTable">#REF!</definedName>
    <definedName name="BAComment" localSheetId="1">#REF!</definedName>
    <definedName name="BAComment">#REF!</definedName>
    <definedName name="BALab" localSheetId="1">#REF!</definedName>
    <definedName name="BALab">#REF!</definedName>
    <definedName name="BALabJournal" localSheetId="1">#REF!</definedName>
    <definedName name="BALabJournal">#REF!</definedName>
    <definedName name="BAWorkFlow" localSheetId="2">[3]General!$B$33:$B$35,[3]General!$F$33:$F$35</definedName>
    <definedName name="BAWorkFlow">[4]General!$B$33:$B$35,[4]General!$F$33:$F$35</definedName>
    <definedName name="BBRTableHeader" localSheetId="2">#REF!</definedName>
    <definedName name="BBRTableHeader" localSheetId="1">#REF!</definedName>
    <definedName name="BBRTableHeader">#REF!</definedName>
    <definedName name="Blood_30ul" localSheetId="1">#REF!</definedName>
    <definedName name="Blood_30ul">#REF!</definedName>
    <definedName name="Blood_50ul" localSheetId="1">#REF!</definedName>
    <definedName name="Blood_50ul">#REF!</definedName>
    <definedName name="brain" localSheetId="1">#REF!</definedName>
    <definedName name="brain">#REF!</definedName>
    <definedName name="CalcVolumes" localSheetId="2">[7]DropDownBoxLists!$D$17:$F$20</definedName>
    <definedName name="CalcVolumes">[8]DropDownBoxLists!$D$17:$F$20</definedName>
    <definedName name="CalRange" localSheetId="2">#REF!</definedName>
    <definedName name="CalRange" localSheetId="1">#REF!</definedName>
    <definedName name="CalRange">#REF!</definedName>
    <definedName name="CalStd1" localSheetId="2">[9]Calibration!$B$11</definedName>
    <definedName name="CalStd1">[10]Calibration!$B$11</definedName>
    <definedName name="CalStd10" localSheetId="2">[9]Calibration!$B$38</definedName>
    <definedName name="CalStd10">[10]Calibration!$B$38</definedName>
    <definedName name="CalStd11" localSheetId="2">[9]Calibration!$B$41</definedName>
    <definedName name="CalStd11">[10]Calibration!$B$41</definedName>
    <definedName name="CalStd12" localSheetId="2">[9]Calibration!$B$44</definedName>
    <definedName name="CalStd12">[10]Calibration!$B$44</definedName>
    <definedName name="CalStd2" localSheetId="2">[9]Calibration!$B$14</definedName>
    <definedName name="CalStd2">[10]Calibration!$B$14</definedName>
    <definedName name="CalStd3" localSheetId="2">[9]Calibration!$B$17</definedName>
    <definedName name="CalStd3">[10]Calibration!$B$17</definedName>
    <definedName name="CalStd4" localSheetId="2">[9]Calibration!$B$20</definedName>
    <definedName name="CalStd4">[10]Calibration!$B$20</definedName>
    <definedName name="CalStd5" localSheetId="2">[9]Calibration!$B$23</definedName>
    <definedName name="CalStd5">[10]Calibration!$B$23</definedName>
    <definedName name="CalStd6" localSheetId="2">[9]Calibration!$B$26</definedName>
    <definedName name="CalStd6">[10]Calibration!$B$26</definedName>
    <definedName name="CalStd7" localSheetId="2">[9]Calibration!$B$29</definedName>
    <definedName name="CalStd7">[10]Calibration!$B$29</definedName>
    <definedName name="CalStd8" localSheetId="2">[9]Calibration!$B$32</definedName>
    <definedName name="CalStd8">[10]Calibration!$B$32</definedName>
    <definedName name="CalStd9" localSheetId="2">[9]Calibration!$B$35</definedName>
    <definedName name="CalStd9">[10]Calibration!$B$35</definedName>
    <definedName name="CharacterizationTable" localSheetId="2">#REF!</definedName>
    <definedName name="CharacterizationTable" localSheetId="1">#REF!</definedName>
    <definedName name="CharacterizationTable">#REF!</definedName>
    <definedName name="cLogP" localSheetId="2">[9]General!$F$37</definedName>
    <definedName name="cLogP">[10]General!$F$37</definedName>
    <definedName name="Comments" localSheetId="2">#REF!</definedName>
    <definedName name="Comments" localSheetId="1">#REF!</definedName>
    <definedName name="Comments">#REF!</definedName>
    <definedName name="Composition" localSheetId="1">#REF!</definedName>
    <definedName name="Composition">#REF!</definedName>
    <definedName name="Compound" localSheetId="2">[9]General!$A$37</definedName>
    <definedName name="Compound">[10]General!$A$37</definedName>
    <definedName name="Compounds" localSheetId="2">#REF!</definedName>
    <definedName name="Compounds" localSheetId="1">#REF!</definedName>
    <definedName name="Compounds">#REF!</definedName>
    <definedName name="CompoundTable" localSheetId="1">#REF!</definedName>
    <definedName name="CompoundTable">#REF!</definedName>
    <definedName name="CompoundTable_Extended" localSheetId="1">#REF!</definedName>
    <definedName name="CompoundTable_Extended">#REF!</definedName>
    <definedName name="CompoundTypes" localSheetId="2">#REF!:INDEX(#REF!,COUNTA(#REF!))</definedName>
    <definedName name="CompoundTypes" localSheetId="1">#REF!:INDEX(#REF!,COUNTA(#REF!))</definedName>
    <definedName name="CompoundTypes">#REF!:INDEX(#REF!,COUNTA(#REF!))</definedName>
    <definedName name="Config_ProtocolStyleRange" localSheetId="2">#REF!</definedName>
    <definedName name="Config_ProtocolStyleRange" localSheetId="1">#REF!</definedName>
    <definedName name="Config_ProtocolStyleRange">#REF!</definedName>
    <definedName name="ConfigAUCExtrapDefault" localSheetId="1">#REF!</definedName>
    <definedName name="ConfigAUCExtrapDefault">#REF!</definedName>
    <definedName name="ConfigChemistRange" localSheetId="1">#REF!</definedName>
    <definedName name="ConfigChemistRange">#REF!</definedName>
    <definedName name="ConfigCompoundDosingType" localSheetId="1">#REF!</definedName>
    <definedName name="ConfigCompoundDosingType">#REF!</definedName>
    <definedName name="ConfigDosingUnits" localSheetId="1">#REF!</definedName>
    <definedName name="ConfigDosingUnits">#REF!</definedName>
    <definedName name="ConfigFromPhoenix" localSheetId="1">#REF!</definedName>
    <definedName name="ConfigFromPhoenix">#REF!</definedName>
    <definedName name="ConfigGrpSyntax" localSheetId="1">#REF!</definedName>
    <definedName name="ConfigGrpSyntax">#REF!</definedName>
    <definedName name="ConfigGSD" localSheetId="1">#REF!</definedName>
    <definedName name="ConfigGSD">#REF!</definedName>
    <definedName name="ConfigMiniTox" localSheetId="1">#REF!</definedName>
    <definedName name="ConfigMiniTox">#REF!</definedName>
    <definedName name="ConfigNCASheets" localSheetId="1">#REF!</definedName>
    <definedName name="ConfigNCASheets">#REF!</definedName>
    <definedName name="ConfigNewExcelGSR" localSheetId="1">#REF!</definedName>
    <definedName name="ConfigNewExcelGSR">#REF!</definedName>
    <definedName name="ConfigNovAppProtExptTypeRange" localSheetId="1">#REF!</definedName>
    <definedName name="ConfigNovAppProtExptTypeRange">#REF!</definedName>
    <definedName name="ConfigOneRoute" localSheetId="1">#REF!</definedName>
    <definedName name="ConfigOneRoute">#REF!</definedName>
    <definedName name="ConfigPharonColNumRange" localSheetId="1">#REF!</definedName>
    <definedName name="ConfigPharonColNumRange">#REF!</definedName>
    <definedName name="ConfigPharonColumnsRange" localSheetId="1">#REF!</definedName>
    <definedName name="ConfigPharonColumnsRange">#REF!</definedName>
    <definedName name="ConfigPharonUnitsRange" localSheetId="1">#REF!</definedName>
    <definedName name="ConfigPharonUnitsRange">#REF!</definedName>
    <definedName name="ConfigPhoenixColumnsRange" localSheetId="1">#REF!</definedName>
    <definedName name="ConfigPhoenixColumnsRange">#REF!</definedName>
    <definedName name="ConfigProtocolPath" localSheetId="1">#REF!</definedName>
    <definedName name="ConfigProtocolPath">#REF!</definedName>
    <definedName name="ConfigProtocolSheet" localSheetId="1">#REF!</definedName>
    <definedName name="ConfigProtocolSheet">#REF!</definedName>
    <definedName name="ConfigRSQ" localSheetId="1">#REF!</definedName>
    <definedName name="ConfigRSQ">#REF!</definedName>
    <definedName name="ConfigSamplingRange" localSheetId="1">#REF!</definedName>
    <definedName name="ConfigSamplingRange">#REF!</definedName>
    <definedName name="ConfigStudyDirRange" localSheetId="1">#REF!</definedName>
    <definedName name="ConfigStudyDirRange">#REF!</definedName>
    <definedName name="ConfigStudyOutlineRange" localSheetId="1">#REF!</definedName>
    <definedName name="ConfigStudyOutlineRange">#REF!</definedName>
    <definedName name="ConfigToPhoenix" localSheetId="1">#REF!</definedName>
    <definedName name="ConfigToPhoenix">#REF!</definedName>
    <definedName name="ConfigXMLNew" localSheetId="1">#REF!</definedName>
    <definedName name="ConfigXMLNew">#REF!</definedName>
    <definedName name="ConfigYesNoRange" localSheetId="1">#REF!</definedName>
    <definedName name="ConfigYesNoRange">#REF!</definedName>
    <definedName name="COUNTER" localSheetId="2">MATCH(#REF!,#REF!,0)</definedName>
    <definedName name="COUNTER" localSheetId="1">MATCH(#REF!,#REF!,0)</definedName>
    <definedName name="COUNTER">MATCH(#REF!,#REF!,0)</definedName>
    <definedName name="CoworkerID" localSheetId="2">#REF!</definedName>
    <definedName name="CoworkerID" localSheetId="1">#REF!</definedName>
    <definedName name="CoworkerID">#REF!</definedName>
    <definedName name="CPP_Protocol" localSheetId="1">#REF!</definedName>
    <definedName name="CPP_Protocol">#REF!</definedName>
    <definedName name="CPP_PTM" localSheetId="2">'[11]Study request'!#REF!</definedName>
    <definedName name="CPP_PTM" localSheetId="1">'[12]Study request'!#REF!</definedName>
    <definedName name="CPP_PTM">'[12]Study request'!#REF!</definedName>
    <definedName name="CrossOver" localSheetId="2">#REF!</definedName>
    <definedName name="CrossOver" localSheetId="1">#REF!</definedName>
    <definedName name="CrossOver">#REF!</definedName>
    <definedName name="CROStudyID" localSheetId="1">#REF!</definedName>
    <definedName name="CROStudyID">#REF!</definedName>
    <definedName name="Customer" localSheetId="1">#REF!</definedName>
    <definedName name="Customer">#REF!</definedName>
    <definedName name="DA" localSheetId="1">#REF!</definedName>
    <definedName name="DA">#REF!</definedName>
    <definedName name="ddg" localSheetId="1">#REF!</definedName>
    <definedName name="ddg">#REF!</definedName>
    <definedName name="Diet1" localSheetId="1">#REF!</definedName>
    <definedName name="Diet1">#REF!</definedName>
    <definedName name="Diet2" localSheetId="1">#REF!</definedName>
    <definedName name="Diet2">#REF!</definedName>
    <definedName name="Diet3" localSheetId="1">#REF!</definedName>
    <definedName name="Diet3">#REF!</definedName>
    <definedName name="DosageForm" localSheetId="2">#REF!:INDEX(#REF!,COUNTA(#REF!))</definedName>
    <definedName name="DosageForm" localSheetId="1">#REF!:INDEX(#REF!,COUNTA(#REF!))</definedName>
    <definedName name="DosageForm">#REF!:INDEX(#REF!,COUNTA(#REF!))</definedName>
    <definedName name="DosageForm1" localSheetId="2">#REF!</definedName>
    <definedName name="DosageForm1" localSheetId="1">#REF!</definedName>
    <definedName name="DosageForm1">#REF!</definedName>
    <definedName name="DosageForm2" localSheetId="2">'[11]Study request'!#REF!</definedName>
    <definedName name="DosageForm2" localSheetId="1">'[12]Study request'!#REF!</definedName>
    <definedName name="DosageForm2">'[12]Study request'!#REF!</definedName>
    <definedName name="DosageForm3" localSheetId="2">'[11]Study request'!#REF!</definedName>
    <definedName name="DosageForm3" localSheetId="1">'[12]Study request'!#REF!</definedName>
    <definedName name="DosageForm3">'[12]Study request'!#REF!</definedName>
    <definedName name="dose" localSheetId="2">[9]PKCalculation!$B$3</definedName>
    <definedName name="dose">[10]PKCalculation!$B$3</definedName>
    <definedName name="Dose1" localSheetId="2">'[1]New discovery PK study request'!$D$39</definedName>
    <definedName name="Dose1">'[2]New discovery PK study request'!$D$39</definedName>
    <definedName name="Dose2" localSheetId="2">'[1]New discovery PK study request'!$D$40</definedName>
    <definedName name="Dose2">'[2]New discovery PK study request'!$D$40</definedName>
    <definedName name="Dose3" localSheetId="2">'[1]New discovery PK study request'!$D$41</definedName>
    <definedName name="Dose3">'[2]New discovery PK study request'!$D$41</definedName>
    <definedName name="DoseUnit" localSheetId="2">#REF!</definedName>
    <definedName name="DoseUnit" localSheetId="1">#REF!</definedName>
    <definedName name="DoseUnit">#REF!</definedName>
    <definedName name="DosingRoute" localSheetId="1">#REF!</definedName>
    <definedName name="DosingRoute">#REF!</definedName>
    <definedName name="EndDate" localSheetId="1">#REF!</definedName>
    <definedName name="EndDate">#REF!</definedName>
    <definedName name="ExpEndDate" localSheetId="2">[13]General!$E$8</definedName>
    <definedName name="ExpEndDate">[14]General!$E$8</definedName>
    <definedName name="ExpStartDate">[15]General!$H$2</definedName>
    <definedName name="Floating" localSheetId="2">[13]FormulationProtocol!$AC$10:$AC$11</definedName>
    <definedName name="Floating">[14]FormulationProtocol!$AC$10:$AC$11</definedName>
    <definedName name="Formulation" localSheetId="2">[13]FormulationProtocol!$Z$10:$Z$11</definedName>
    <definedName name="Formulation">[14]FormulationProtocol!$Z$10:$Z$11</definedName>
    <definedName name="FormulationLab" localSheetId="2">#REF!</definedName>
    <definedName name="FormulationLab" localSheetId="1">#REF!</definedName>
    <definedName name="FormulationLab">#REF!</definedName>
    <definedName name="FormulationLabJournal" localSheetId="1">#REF!</definedName>
    <definedName name="FormulationLabJournal">#REF!</definedName>
    <definedName name="FormulationTable" localSheetId="1">#REF!</definedName>
    <definedName name="FormulationTable">#REF!</definedName>
    <definedName name="Gender" localSheetId="1">#REF!</definedName>
    <definedName name="Gender">#REF!</definedName>
    <definedName name="ggg">#REF!</definedName>
    <definedName name="GSDColumnsEndMiniTox" localSheetId="1">#REF!</definedName>
    <definedName name="GSDColumnsEndMiniTox">#REF!</definedName>
    <definedName name="GSDColumnsEndOld" localSheetId="1">#REF!</definedName>
    <definedName name="GSDColumnsEndOld">#REF!</definedName>
    <definedName name="GSDColumnsEndORE" localSheetId="1">#REF!</definedName>
    <definedName name="GSDColumnsEndORE">#REF!</definedName>
    <definedName name="GSDColumnsStartMiniTox" localSheetId="1">#REF!</definedName>
    <definedName name="GSDColumnsStartMiniTox">#REF!</definedName>
    <definedName name="GSDColumnsStartOld" localSheetId="1">#REF!</definedName>
    <definedName name="GSDColumnsStartOld">#REF!</definedName>
    <definedName name="GSDColumnsStartORE" localSheetId="1">#REF!</definedName>
    <definedName name="GSDColumnsStartORE">#REF!</definedName>
    <definedName name="GSRColumnsEnd" localSheetId="1">#REF!</definedName>
    <definedName name="GSRColumnsEnd">#REF!</definedName>
    <definedName name="GSRColumnsStart" localSheetId="1">#REF!</definedName>
    <definedName name="GSRColumnsStart">#REF!</definedName>
    <definedName name="HomeAnalChem" localSheetId="1">#REF!</definedName>
    <definedName name="HomeAnalChem">#REF!</definedName>
    <definedName name="HomeAnalytes" localSheetId="1">#REF!</definedName>
    <definedName name="HomeAnalytes">#REF!</definedName>
    <definedName name="HomeBAWorkbook" localSheetId="1">#REF!</definedName>
    <definedName name="HomeBAWorkbook">#REF!</definedName>
    <definedName name="HomeCRLStudyDir" localSheetId="1">#REF!</definedName>
    <definedName name="HomeCRLStudyDir">#REF!</definedName>
    <definedName name="HomeCRLStudyNumber" localSheetId="1">#REF!</definedName>
    <definedName name="HomeCRLStudyNumber">#REF!</definedName>
    <definedName name="HomeDoNCA" localSheetId="1">#REF!</definedName>
    <definedName name="HomeDoNCA">#REF!</definedName>
    <definedName name="HomeEFN" localSheetId="1">#REF!</definedName>
    <definedName name="HomeEFN">#REF!</definedName>
    <definedName name="HomeInitDosingDate" localSheetId="1">#REF!</definedName>
    <definedName name="HomeInitDosingDate">#REF!</definedName>
    <definedName name="HomeInLifeFile" localSheetId="1">#REF!</definedName>
    <definedName name="HomeInLifeFile">#REF!</definedName>
    <definedName name="HomePhoenixSheetNames" localSheetId="1">#REF!</definedName>
    <definedName name="HomePhoenixSheetNames">#REF!</definedName>
    <definedName name="HomePKImportPath" localSheetId="1">#REF!</definedName>
    <definedName name="HomePKImportPath">#REF!</definedName>
    <definedName name="HomeRDBFiles" localSheetId="1">#REF!</definedName>
    <definedName name="HomeRDBFiles">#REF!</definedName>
    <definedName name="HomeReportDate" localSheetId="1">#REF!</definedName>
    <definedName name="HomeReportDate">#REF!</definedName>
    <definedName name="HomeStudyType" localSheetId="1">#REF!</definedName>
    <definedName name="HomeStudyType">#REF!</definedName>
    <definedName name="HomeTreatment" localSheetId="1">#REF!</definedName>
    <definedName name="HomeTreatment">#REF!</definedName>
    <definedName name="HomogenateBrain" localSheetId="1">#REF!</definedName>
    <definedName name="HomogenateBrain">#REF!</definedName>
    <definedName name="HomogenateBrain_50" localSheetId="1">#REF!</definedName>
    <definedName name="HomogenateBrain_50">#REF!</definedName>
    <definedName name="HomogenateSkin" localSheetId="1">#REF!</definedName>
    <definedName name="HomogenateSkin">#REF!</definedName>
    <definedName name="InLifeComment1" localSheetId="1">#REF!</definedName>
    <definedName name="InLifeComment1">#REF!</definedName>
    <definedName name="InLifeComment2" localSheetId="1">#REF!</definedName>
    <definedName name="InLifeComment2">#REF!</definedName>
    <definedName name="InLifeCommentPre1" localSheetId="1">#REF!</definedName>
    <definedName name="InLifeCommentPre1">#REF!</definedName>
    <definedName name="InLifeCommentPre2" localSheetId="1">#REF!</definedName>
    <definedName name="InLifeCommentPre2">#REF!</definedName>
    <definedName name="InLifeLab" localSheetId="1">#REF!</definedName>
    <definedName name="InLifeLab">#REF!</definedName>
    <definedName name="InLifeLabJournal" localSheetId="1">#REF!</definedName>
    <definedName name="InLifeLabJournal">#REF!</definedName>
    <definedName name="InLifeLabJournalPages" localSheetId="1">#REF!</definedName>
    <definedName name="InLifeLabJournalPages">#REF!</definedName>
    <definedName name="InLifeOperator" localSheetId="2">[13]General!$F$7</definedName>
    <definedName name="InLifeOperator">[14]General!$F$7</definedName>
    <definedName name="InLifeStudyID" localSheetId="2">#REF!</definedName>
    <definedName name="InLifeStudyID" localSheetId="1">#REF!</definedName>
    <definedName name="InLifeStudyID">#REF!</definedName>
    <definedName name="InputTable" localSheetId="1">#REF!</definedName>
    <definedName name="InputTable">#REF!</definedName>
    <definedName name="IS" localSheetId="2">[9]General!$A$38</definedName>
    <definedName name="IS">[10]General!$A$38</definedName>
    <definedName name="ivData" localSheetId="2">#REF!</definedName>
    <definedName name="ivData" localSheetId="1">#REF!</definedName>
    <definedName name="ivData">#REF!</definedName>
    <definedName name="ivDose" localSheetId="2">[9]General!$D$14</definedName>
    <definedName name="ivDose">[10]General!$D$14</definedName>
    <definedName name="KeyID" localSheetId="2">#REF!</definedName>
    <definedName name="KeyID" localSheetId="1">#REF!</definedName>
    <definedName name="KeyID">#REF!</definedName>
    <definedName name="LabAssociate" localSheetId="1">#REF!</definedName>
    <definedName name="LabAssociate">#REF!</definedName>
    <definedName name="LabHead" localSheetId="1">#REF!</definedName>
    <definedName name="LabHead">#REF!</definedName>
    <definedName name="LabJournal" localSheetId="1">#REF!</definedName>
    <definedName name="LabJournal">#REF!</definedName>
    <definedName name="LLOQ" localSheetId="2">[9]Calibration!$G$4</definedName>
    <definedName name="LLOQ">[10]Calibration!$G$4</definedName>
    <definedName name="LNTS">[15]General!$F$4</definedName>
    <definedName name="Matrices" localSheetId="2">#REF!</definedName>
    <definedName name="Matrices" localSheetId="1">#REF!</definedName>
    <definedName name="Matrices">#REF!</definedName>
    <definedName name="Matrix" localSheetId="1">#REF!</definedName>
    <definedName name="Matrix">#REF!</definedName>
    <definedName name="MatrixCorrTable" localSheetId="1">#REF!</definedName>
    <definedName name="MatrixCorrTable">#REF!</definedName>
    <definedName name="MatrixTable" localSheetId="1">#REF!</definedName>
    <definedName name="MatrixTable">#REF!</definedName>
    <definedName name="MeanWeight" localSheetId="1">#REF!</definedName>
    <definedName name="MeanWeight">#REF!</definedName>
    <definedName name="MiniToxColumnsEnd" localSheetId="1">#REF!</definedName>
    <definedName name="MiniToxColumnsEnd">#REF!</definedName>
    <definedName name="MiniToxColumnsStart" localSheetId="1">#REF!</definedName>
    <definedName name="MiniToxColumnsStart">#REF!</definedName>
    <definedName name="MWBase" localSheetId="2">[9]General!$D$37</definedName>
    <definedName name="MWBase">[10]General!$D$37</definedName>
    <definedName name="NC_1" localSheetId="2">[9]PKCalculation!$B$9:$B$11</definedName>
    <definedName name="NC_1">[10]PKCalculation!$B$9:$B$11</definedName>
    <definedName name="NC_10" localSheetId="2">[9]PKCalculation!$N$19:$N$21</definedName>
    <definedName name="NC_10">[10]PKCalculation!$N$19:$N$21</definedName>
    <definedName name="NC_11" localSheetId="2">[9]PKCalculation!$N$19:$N$21</definedName>
    <definedName name="NC_11">[10]PKCalculation!$N$19:$N$21</definedName>
    <definedName name="NC_12" localSheetId="2">[9]PKCalculation!$N$19:$N$21</definedName>
    <definedName name="NC_12">[10]PKCalculation!$N$19:$N$21</definedName>
    <definedName name="NC_13" localSheetId="2">[9]PKCalculation!$N$19:$N$21</definedName>
    <definedName name="NC_13">[10]PKCalculation!$N$19:$N$21</definedName>
    <definedName name="NC_14" localSheetId="2">[9]PKCalculation!$N$19:$N$21</definedName>
    <definedName name="NC_14">[10]PKCalculation!$N$19:$N$21</definedName>
    <definedName name="NC_15" localSheetId="2">[9]PKCalculation!$N$19:$N$21</definedName>
    <definedName name="NC_15">[10]PKCalculation!$N$19:$N$21</definedName>
    <definedName name="NC_16" localSheetId="2">[9]PKCalculation!$N$19:$N$21</definedName>
    <definedName name="NC_16">[10]PKCalculation!$N$19:$N$21</definedName>
    <definedName name="NC_17" localSheetId="2">[9]PKCalculation!$N$19:$N$21</definedName>
    <definedName name="NC_17">[10]PKCalculation!$N$19:$N$21</definedName>
    <definedName name="NC_18" localSheetId="2">[9]PKCalculation!$N$19:$N$21</definedName>
    <definedName name="NC_18">[10]PKCalculation!$N$19:$N$21</definedName>
    <definedName name="NC_19" localSheetId="2">[9]PKCalculation!$N$19:$N$21</definedName>
    <definedName name="NC_19">[10]PKCalculation!$N$19:$N$21</definedName>
    <definedName name="NC_2" localSheetId="2">[9]PKCalculation!$N$19:$N$21</definedName>
    <definedName name="NC_2">[10]PKCalculation!$N$19:$N$21</definedName>
    <definedName name="NC_20" localSheetId="2">[9]PKCalculation!$N$19:$N$21</definedName>
    <definedName name="NC_20">[10]PKCalculation!$N$19:$N$21</definedName>
    <definedName name="NC_3" localSheetId="2">[9]PKCalculation!$N$19:$N$21</definedName>
    <definedName name="NC_3">[10]PKCalculation!$N$19:$N$21</definedName>
    <definedName name="NC_4" localSheetId="2">[9]PKCalculation!$N$19:$N$21</definedName>
    <definedName name="NC_4">[10]PKCalculation!$N$19:$N$21</definedName>
    <definedName name="NC_5" localSheetId="2">[9]PKCalculation!$N$19:$N$21</definedName>
    <definedName name="NC_5">[10]PKCalculation!$N$19:$N$21</definedName>
    <definedName name="NC_6" localSheetId="2">[9]PKCalculation!$N$19:$N$21</definedName>
    <definedName name="NC_6">[10]PKCalculation!$N$19:$N$21</definedName>
    <definedName name="NC_7" localSheetId="2">[9]PKCalculation!$N$19:$N$21</definedName>
    <definedName name="NC_7">[10]PKCalculation!$N$19:$N$21</definedName>
    <definedName name="NC_8" localSheetId="2">[9]PKCalculation!$N$19:$N$21</definedName>
    <definedName name="NC_8">[10]PKCalculation!$N$19:$N$21</definedName>
    <definedName name="NC_9" localSheetId="2">[9]PKCalculation!$N$19:$N$21</definedName>
    <definedName name="NC_9">[10]PKCalculation!$N$19:$N$21</definedName>
    <definedName name="NC_Mean" localSheetId="2">[9]PKCalculation!$V$9:$V$11</definedName>
    <definedName name="NC_Mean">[10]PKCalculation!$V$9:$V$11</definedName>
    <definedName name="NCATemplateRange" localSheetId="2">#REF!</definedName>
    <definedName name="NCATemplateRange" localSheetId="1">#REF!</definedName>
    <definedName name="NCATemplateRange">#REF!</definedName>
    <definedName name="NCC" localSheetId="1">#REF!</definedName>
    <definedName name="NCC">#REF!</definedName>
    <definedName name="NewXMLRoute" localSheetId="1">#REF!</definedName>
    <definedName name="NewXMLRoute">#REF!</definedName>
    <definedName name="NMPComment" localSheetId="1">#REF!</definedName>
    <definedName name="NMPComment">#REF!</definedName>
    <definedName name="Nr" localSheetId="1">#REF!</definedName>
    <definedName name="Nr">#REF!</definedName>
    <definedName name="NrAnimals" localSheetId="2">'[1]New discovery PK study request'!$C$37</definedName>
    <definedName name="NrAnimals">'[2]New discovery PK study request'!$C$37</definedName>
    <definedName name="NumAnimals" localSheetId="2">#REF!</definedName>
    <definedName name="NumAnimals" localSheetId="1">#REF!</definedName>
    <definedName name="NumAnimals">#REF!</definedName>
    <definedName name="Operators">[6]Hidden!$B$11:$B$19</definedName>
    <definedName name="oraldose" localSheetId="2">[9]PKCalculation!$B$4</definedName>
    <definedName name="oraldose">[10]PKCalculation!$B$4</definedName>
    <definedName name="OrderID" localSheetId="2">#REF!</definedName>
    <definedName name="OrderID" localSheetId="1">#REF!</definedName>
    <definedName name="OrderID">#REF!</definedName>
    <definedName name="Outsourced" localSheetId="1">#REF!</definedName>
    <definedName name="Outsourced">#REF!</definedName>
    <definedName name="Overage_factor" localSheetId="2">'[1]New discovery PK study request'!$S$11</definedName>
    <definedName name="Overage_factor">'[2]New discovery PK study request'!$S$11</definedName>
    <definedName name="ParticleSize" localSheetId="2">[7]DropDownBoxLists!$G$5:$G$7</definedName>
    <definedName name="ParticleSize">[8]DropDownBoxLists!$G$5:$G$7</definedName>
    <definedName name="PDModelComments" localSheetId="2">#REF!</definedName>
    <definedName name="PDModelComments" localSheetId="1">#REF!</definedName>
    <definedName name="PDModelComments">#REF!</definedName>
    <definedName name="PDPharonID" localSheetId="1">#REF!</definedName>
    <definedName name="PDPharonID">#REF!</definedName>
    <definedName name="PDReadout" localSheetId="1">#REF!</definedName>
    <definedName name="PDReadout">#REF!</definedName>
    <definedName name="PDReportDate" localSheetId="1">#REF!</definedName>
    <definedName name="PDReportDate">#REF!</definedName>
    <definedName name="PK_Observations" localSheetId="1">#REF!</definedName>
    <definedName name="PK_Observations">#REF!</definedName>
    <definedName name="PKData" localSheetId="1">#REF!</definedName>
    <definedName name="PKData">#REF!</definedName>
    <definedName name="PKPD_Version" localSheetId="1">#REF!</definedName>
    <definedName name="PKPD_Version">#REF!</definedName>
    <definedName name="Plasma" localSheetId="1">#REF!</definedName>
    <definedName name="Plasma">#REF!</definedName>
    <definedName name="Plasma_100ul" localSheetId="1">#REF!</definedName>
    <definedName name="Plasma_100ul">#REF!</definedName>
    <definedName name="Plasma_10ul" localSheetId="1">#REF!</definedName>
    <definedName name="Plasma_10ul">#REF!</definedName>
    <definedName name="Plasma_50ul" localSheetId="1">#REF!</definedName>
    <definedName name="Plasma_50ul">#REF!</definedName>
    <definedName name="Plate" localSheetId="1">#REF!</definedName>
    <definedName name="Plate">#REF!</definedName>
    <definedName name="PlateHeader" localSheetId="1">#REF!</definedName>
    <definedName name="PlateHeader">#REF!</definedName>
    <definedName name="PlateVerticalDesc" localSheetId="1">#REF!</definedName>
    <definedName name="PlateVerticalDesc">#REF!</definedName>
    <definedName name="poData" localSheetId="1">#REF!</definedName>
    <definedName name="poData">#REF!</definedName>
    <definedName name="poDataCorr" localSheetId="1">#REF!</definedName>
    <definedName name="poDataCorr">#REF!</definedName>
    <definedName name="PreparationTable" localSheetId="1">#REF!</definedName>
    <definedName name="PreparationTable">#REF!</definedName>
    <definedName name="PreTreatment" localSheetId="1">#REF!</definedName>
    <definedName name="PreTreatment">#REF!</definedName>
    <definedName name="Priority" localSheetId="1">#REF!</definedName>
    <definedName name="Priority">#REF!</definedName>
    <definedName name="Protocol" localSheetId="1">#REF!</definedName>
    <definedName name="Protocol">#REF!</definedName>
    <definedName name="Protocol_JPG" localSheetId="1">#REF!</definedName>
    <definedName name="Protocol_JPG">#REF!</definedName>
    <definedName name="Protocol_JPG_Root" localSheetId="1">#REF!</definedName>
    <definedName name="Protocol_JPG_Root">#REF!</definedName>
    <definedName name="Protocol_Path" localSheetId="1">#REF!</definedName>
    <definedName name="Protocol_Path">#REF!</definedName>
    <definedName name="Protocol_ProtocolStyle" localSheetId="1">#REF!</definedName>
    <definedName name="Protocol_ProtocolStyle">#REF!</definedName>
    <definedName name="Protocol_SamplingMethod" localSheetId="1">#REF!</definedName>
    <definedName name="Protocol_SamplingMethod">#REF!</definedName>
    <definedName name="ProtocolWordPath" localSheetId="1">#REF!</definedName>
    <definedName name="ProtocolWordPath">#REF!</definedName>
    <definedName name="PTM" localSheetId="1">#REF!</definedName>
    <definedName name="PTM">#REF!</definedName>
    <definedName name="PTR">[15]General!$C$10</definedName>
    <definedName name="PTRLabJournal" localSheetId="2">#REF!</definedName>
    <definedName name="PTRLabJournal" localSheetId="1">#REF!</definedName>
    <definedName name="PTRLabJournal">#REF!</definedName>
    <definedName name="Redispersibility" localSheetId="2">[13]FormulationProtocol!$AB$10:$AB$11</definedName>
    <definedName name="Redispersibility">[14]FormulationProtocol!$AB$10:$AB$11</definedName>
    <definedName name="Reg_type" localSheetId="2">[9]Calibration!$H$76</definedName>
    <definedName name="Reg_type">[10]Calibration!$H$76</definedName>
    <definedName name="RequestDate" localSheetId="2">#REF!</definedName>
    <definedName name="RequestDate" localSheetId="1">#REF!</definedName>
    <definedName name="RequestDate">#REF!</definedName>
    <definedName name="res_iv1" localSheetId="1">#REF!</definedName>
    <definedName name="res_iv1">#REF!</definedName>
    <definedName name="res_iv10" localSheetId="1">#REF!</definedName>
    <definedName name="res_iv10">#REF!</definedName>
    <definedName name="res_iv11" localSheetId="1">#REF!</definedName>
    <definedName name="res_iv11">#REF!</definedName>
    <definedName name="res_iv12" localSheetId="1">#REF!</definedName>
    <definedName name="res_iv12">#REF!</definedName>
    <definedName name="res_iv13" localSheetId="1">#REF!</definedName>
    <definedName name="res_iv13">#REF!</definedName>
    <definedName name="res_iv14" localSheetId="1">#REF!</definedName>
    <definedName name="res_iv14">#REF!</definedName>
    <definedName name="res_iv15" localSheetId="1">#REF!</definedName>
    <definedName name="res_iv15">#REF!</definedName>
    <definedName name="res_iv16" localSheetId="1">#REF!</definedName>
    <definedName name="res_iv16">#REF!</definedName>
    <definedName name="res_iv17" localSheetId="1">#REF!</definedName>
    <definedName name="res_iv17">#REF!</definedName>
    <definedName name="res_iv18" localSheetId="1">#REF!</definedName>
    <definedName name="res_iv18">#REF!</definedName>
    <definedName name="res_iv19" localSheetId="1">#REF!</definedName>
    <definedName name="res_iv19">#REF!</definedName>
    <definedName name="res_iv2" localSheetId="1">#REF!</definedName>
    <definedName name="res_iv2">#REF!</definedName>
    <definedName name="res_iv20" localSheetId="1">#REF!</definedName>
    <definedName name="res_iv20">#REF!</definedName>
    <definedName name="res_iv3" localSheetId="1">#REF!</definedName>
    <definedName name="res_iv3">#REF!</definedName>
    <definedName name="res_iv4">[16]data_Blood!$E$8:$E$22</definedName>
    <definedName name="res_iv5" localSheetId="2">#REF!</definedName>
    <definedName name="res_iv5" localSheetId="1">#REF!</definedName>
    <definedName name="res_iv5">#REF!</definedName>
    <definedName name="res_iv6" localSheetId="1">#REF!</definedName>
    <definedName name="res_iv6">#REF!</definedName>
    <definedName name="res_iv7" localSheetId="1">#REF!</definedName>
    <definedName name="res_iv7">#REF!</definedName>
    <definedName name="res_iv8" localSheetId="1">#REF!</definedName>
    <definedName name="res_iv8">#REF!</definedName>
    <definedName name="res_iv9" localSheetId="1">#REF!</definedName>
    <definedName name="res_iv9">#REF!</definedName>
    <definedName name="res_ivMean" localSheetId="1">#REF!</definedName>
    <definedName name="res_ivMean">#REF!</definedName>
    <definedName name="res_po1" localSheetId="1">#REF!</definedName>
    <definedName name="res_po1">#REF!</definedName>
    <definedName name="res_po10" localSheetId="1">#REF!</definedName>
    <definedName name="res_po10">#REF!</definedName>
    <definedName name="res_po11" localSheetId="1">#REF!</definedName>
    <definedName name="res_po11">#REF!</definedName>
    <definedName name="res_po12" localSheetId="1">#REF!</definedName>
    <definedName name="res_po12">#REF!</definedName>
    <definedName name="res_po13" localSheetId="1">#REF!</definedName>
    <definedName name="res_po13">#REF!</definedName>
    <definedName name="res_po14" localSheetId="1">#REF!</definedName>
    <definedName name="res_po14">#REF!</definedName>
    <definedName name="res_po15" localSheetId="1">#REF!</definedName>
    <definedName name="res_po15">#REF!</definedName>
    <definedName name="res_po16" localSheetId="1">#REF!</definedName>
    <definedName name="res_po16">#REF!</definedName>
    <definedName name="res_po17" localSheetId="1">#REF!</definedName>
    <definedName name="res_po17">#REF!</definedName>
    <definedName name="res_po18" localSheetId="1">#REF!</definedName>
    <definedName name="res_po18">#REF!</definedName>
    <definedName name="res_po19" localSheetId="1">#REF!</definedName>
    <definedName name="res_po19">#REF!</definedName>
    <definedName name="res_po2" localSheetId="1">#REF!</definedName>
    <definedName name="res_po2">#REF!</definedName>
    <definedName name="res_po20" localSheetId="1">#REF!</definedName>
    <definedName name="res_po20">#REF!</definedName>
    <definedName name="res_po3" localSheetId="1">#REF!</definedName>
    <definedName name="res_po3">#REF!</definedName>
    <definedName name="res_po4" localSheetId="1">#REF!</definedName>
    <definedName name="res_po4">#REF!</definedName>
    <definedName name="res_po5" localSheetId="1">#REF!</definedName>
    <definedName name="res_po5">#REF!</definedName>
    <definedName name="res_po6" localSheetId="1">#REF!</definedName>
    <definedName name="res_po6">#REF!</definedName>
    <definedName name="res_po7" localSheetId="1">#REF!</definedName>
    <definedName name="res_po7">#REF!</definedName>
    <definedName name="res_po8" localSheetId="1">#REF!</definedName>
    <definedName name="res_po8">#REF!</definedName>
    <definedName name="res_po9" localSheetId="1">#REF!</definedName>
    <definedName name="res_po9">#REF!</definedName>
    <definedName name="res_poMean" localSheetId="1">#REF!</definedName>
    <definedName name="res_poMean">#REF!</definedName>
    <definedName name="ResultColumns">[16]ResultsPK!$W:$X</definedName>
    <definedName name="Route" localSheetId="2">#REF!:INDEX(#REF!,COUNTA(#REF!))</definedName>
    <definedName name="Route" localSheetId="1">#REF!:INDEX(#REF!,COUNTA(#REF!))</definedName>
    <definedName name="Route">#REF!:INDEX(#REF!,COUNTA(#REF!))</definedName>
    <definedName name="Route1" localSheetId="2">'[1]New discovery PK study request'!$C$39</definedName>
    <definedName name="Route1">'[2]New discovery PK study request'!$C$39</definedName>
    <definedName name="Route2" localSheetId="2">'[1]New discovery PK study request'!$C$40</definedName>
    <definedName name="Route2">'[2]New discovery PK study request'!$C$40</definedName>
    <definedName name="Route3" localSheetId="2">'[1]New discovery PK study request'!$C$41</definedName>
    <definedName name="Route3">'[2]New discovery PK study request'!$C$41</definedName>
    <definedName name="RowPO" localSheetId="2">[9]PKCalculation!$D$4</definedName>
    <definedName name="RowPO">[10]PKCalculation!$D$4</definedName>
    <definedName name="SampleDeliveryDate" localSheetId="2">#REF!</definedName>
    <definedName name="SampleDeliveryDate" localSheetId="1">#REF!</definedName>
    <definedName name="SampleDeliveryDate">#REF!</definedName>
    <definedName name="SamplePrepMethList" localSheetId="1">#REF!</definedName>
    <definedName name="SamplePrepMethList">#REF!</definedName>
    <definedName name="SamplePrepProc" localSheetId="2">[17]SamplePrep!#REF!</definedName>
    <definedName name="SamplePrepProc" localSheetId="1">[18]SamplePrep!#REF!</definedName>
    <definedName name="SamplePrepProc">[18]SamplePrep!#REF!</definedName>
    <definedName name="samples" localSheetId="2">#REF!</definedName>
    <definedName name="samples" localSheetId="1">#REF!</definedName>
    <definedName name="samples">#REF!</definedName>
    <definedName name="SamplingTimes" localSheetId="1">#REF!</definedName>
    <definedName name="SamplingTimes">#REF!</definedName>
    <definedName name="SamplingTimes1" localSheetId="1">#REF!</definedName>
    <definedName name="SamplingTimes1">#REF!</definedName>
    <definedName name="SamplingTimes2" localSheetId="2">'[11]Study request'!#REF!</definedName>
    <definedName name="SamplingTimes2" localSheetId="1">'[12]Study request'!#REF!</definedName>
    <definedName name="SamplingTimes2">'[12]Study request'!#REF!</definedName>
    <definedName name="SamplingTimes3" localSheetId="2">'[11]Study request'!#REF!</definedName>
    <definedName name="SamplingTimes3" localSheetId="1">'[12]Study request'!#REF!</definedName>
    <definedName name="SamplingTimes3">'[12]Study request'!#REF!</definedName>
    <definedName name="SamplingTimeTable" localSheetId="2">#REF!</definedName>
    <definedName name="SamplingTimeTable" localSheetId="1">#REF!</definedName>
    <definedName name="SamplingTimeTable">#REF!</definedName>
    <definedName name="Sedimentation" localSheetId="2">[13]FormulationProtocol!$AA$10:$AA$12</definedName>
    <definedName name="Sedimentation">[14]FormulationProtocol!$AA$10:$AA$12</definedName>
    <definedName name="SequenceHeader" localSheetId="2">#REF!</definedName>
    <definedName name="SequenceHeader" localSheetId="1">#REF!</definedName>
    <definedName name="SequenceHeader">#REF!</definedName>
    <definedName name="Series1" localSheetId="1">#REF!</definedName>
    <definedName name="Series1">#REF!</definedName>
    <definedName name="Series2" localSheetId="1">#REF!</definedName>
    <definedName name="Series2">#REF!</definedName>
    <definedName name="Series3" localSheetId="1">#REF!</definedName>
    <definedName name="Series3">#REF!</definedName>
    <definedName name="Site" localSheetId="1">#REF!</definedName>
    <definedName name="Site">#REF!</definedName>
    <definedName name="SolidState" localSheetId="2">[7]DropDownBoxLists!$F$5:$F$7</definedName>
    <definedName name="SolidState">[8]DropDownBoxLists!$F$5:$F$7</definedName>
    <definedName name="sonication" localSheetId="2">[13]FormulationProtocol!$Z$5:$Z$6</definedName>
    <definedName name="sonication">[14]FormulationProtocol!$Z$5:$Z$6</definedName>
    <definedName name="Species" localSheetId="2">'[1]New discovery PK study request'!$C$34</definedName>
    <definedName name="Species">'[2]New discovery PK study request'!$C$34</definedName>
    <definedName name="SpeciesStart" localSheetId="2">[1]Dropdowns!$J$1</definedName>
    <definedName name="SpeciesStart">[2]Dropdowns!$J$1</definedName>
    <definedName name="Stage" localSheetId="2">#REF!</definedName>
    <definedName name="Stage" localSheetId="1">#REF!</definedName>
    <definedName name="Stage">#REF!</definedName>
    <definedName name="Step10" localSheetId="1">#REF!</definedName>
    <definedName name="Step10">#REF!</definedName>
    <definedName name="Step100" localSheetId="1">#REF!</definedName>
    <definedName name="Step100">#REF!</definedName>
    <definedName name="Step20" localSheetId="1">#REF!</definedName>
    <definedName name="Step20">#REF!</definedName>
    <definedName name="Step30" localSheetId="1">#REF!</definedName>
    <definedName name="Step30">#REF!</definedName>
    <definedName name="Step70" localSheetId="1">#REF!</definedName>
    <definedName name="Step70">#REF!</definedName>
    <definedName name="Step80" localSheetId="1">#REF!</definedName>
    <definedName name="Step80">#REF!</definedName>
    <definedName name="Step90" localSheetId="1">#REF!</definedName>
    <definedName name="Step90">#REF!</definedName>
    <definedName name="Strain" localSheetId="2">'[1]New discovery PK study request'!$D$34</definedName>
    <definedName name="Strain">'[2]New discovery PK study request'!$D$34</definedName>
    <definedName name="StudyCategory" localSheetId="2">#REF!</definedName>
    <definedName name="StudyCategory" localSheetId="1">#REF!</definedName>
    <definedName name="StudyCategory">#REF!</definedName>
    <definedName name="StudyComment1" localSheetId="1">#REF!</definedName>
    <definedName name="StudyComment1">#REF!</definedName>
    <definedName name="StudyComment2" localSheetId="1">#REF!</definedName>
    <definedName name="StudyComment2">#REF!</definedName>
    <definedName name="StudyCommentPre1" localSheetId="1">#REF!</definedName>
    <definedName name="StudyCommentPre1">#REF!</definedName>
    <definedName name="StudyCommentPre2" localSheetId="1">#REF!</definedName>
    <definedName name="StudyCommentPre2">#REF!</definedName>
    <definedName name="StudyDescription">[15]General!$C$5</definedName>
    <definedName name="StudyDesign" localSheetId="2">#REF!</definedName>
    <definedName name="StudyDesign" localSheetId="1">#REF!</definedName>
    <definedName name="StudyDesign">#REF!</definedName>
    <definedName name="StudyID">[15]General!$C$4</definedName>
    <definedName name="StudyIDPD" localSheetId="2">#REF!</definedName>
    <definedName name="StudyIDPD" localSheetId="1">#REF!</definedName>
    <definedName name="StudyIDPD">#REF!</definedName>
    <definedName name="StudyModel" localSheetId="1">#REF!</definedName>
    <definedName name="StudyModel">#REF!</definedName>
    <definedName name="StudyNo" localSheetId="1">#REF!</definedName>
    <definedName name="StudyNo">#REF!</definedName>
    <definedName name="StudyOutline" localSheetId="1">#REF!</definedName>
    <definedName name="StudyOutline">#REF!</definedName>
    <definedName name="StudyPurpose" localSheetId="1">#REF!</definedName>
    <definedName name="StudyPurpose">#REF!</definedName>
    <definedName name="StudyType" localSheetId="1">#REF!</definedName>
    <definedName name="StudyType">#REF!</definedName>
    <definedName name="Substanzen" localSheetId="2">[19]General!$A$13:$A$26</definedName>
    <definedName name="Substanzen">[20]General!$A$13:$A$26</definedName>
    <definedName name="Supplier" localSheetId="2">#REF!</definedName>
    <definedName name="Supplier" localSheetId="1">#REF!</definedName>
    <definedName name="Supplier">#REF!</definedName>
    <definedName name="timepts_iv" localSheetId="1">#REF!</definedName>
    <definedName name="timepts_iv">#REF!</definedName>
    <definedName name="timepts_po" localSheetId="1">#REF!</definedName>
    <definedName name="timepts_po">#REF!</definedName>
    <definedName name="TreatmentTable" localSheetId="1">#REF!</definedName>
    <definedName name="TreatmentTable">#REF!</definedName>
    <definedName name="Type" localSheetId="2">[9]General!$C$37</definedName>
    <definedName name="Type">[10]General!$C$37</definedName>
    <definedName name="ULOQ" localSheetId="2">[9]Calibration!$G$5</definedName>
    <definedName name="ULOQ">[10]Calibration!$G$5</definedName>
    <definedName name="Use_of_probe_sonication">'[21]Suspension Scoring system'!$A$3:$C$3</definedName>
    <definedName name="UseStrains" localSheetId="2">INDEX([22]!Strain,1,'Chemistry-Pricing'!COUNTER):INDEX([22]!Strain,12,MATCH(#REF!,#REF!,0))</definedName>
    <definedName name="UseStrains" localSheetId="1">INDEX([23]!Strain,1,'Chemistry-Questionnaire'!COUNTER):INDEX([23]!Strain,12,MATCH(#REF!,#REF!,0))</definedName>
    <definedName name="UseStrains" localSheetId="0">INDEX([23]!Strain,1,COUNTER):INDEX([23]!Strain,12,MATCH(#REF!,#REF!,0))</definedName>
    <definedName name="UseStrains">INDEX([23]!Strain,1,COUNTER):INDEX([23]!Strain,12,MATCH(#REF!,#REF!,0))</definedName>
    <definedName name="Vehic1" localSheetId="2">'[1]New discovery PK study request'!$E$74</definedName>
    <definedName name="Vehic1">'[2]New discovery PK study request'!$E$74</definedName>
    <definedName name="Vehic2" localSheetId="2">'[1]New discovery PK study request'!$E$75</definedName>
    <definedName name="Vehic2">'[2]New discovery PK study request'!$E$75</definedName>
    <definedName name="Vehic3" localSheetId="2">'[1]New discovery PK study request'!$E$76</definedName>
    <definedName name="Vehic3">'[2]New discovery PK study request'!$E$76</definedName>
    <definedName name="Vehicle" localSheetId="2">#REF!</definedName>
    <definedName name="Vehicle" localSheetId="1">#REF!</definedName>
    <definedName name="Vehicle">#REF!</definedName>
    <definedName name="Vehicle1" localSheetId="2">'[11]Study request'!#REF!</definedName>
    <definedName name="Vehicle1" localSheetId="1">'[12]Study request'!#REF!</definedName>
    <definedName name="Vehicle1">'[12]Study request'!#REF!</definedName>
    <definedName name="vehicle10" localSheetId="2">#REF!</definedName>
    <definedName name="vehicle10" localSheetId="1">#REF!</definedName>
    <definedName name="vehicle10">#REF!</definedName>
    <definedName name="Vehicle2" localSheetId="2">'[11]Study request'!#REF!</definedName>
    <definedName name="Vehicle2" localSheetId="1">'[12]Study request'!#REF!</definedName>
    <definedName name="Vehicle2">'[12]Study request'!#REF!</definedName>
    <definedName name="Vehicle3" localSheetId="2">'[11]Study request'!#REF!</definedName>
    <definedName name="Vehicle3" localSheetId="1">'[12]Study request'!#REF!</definedName>
    <definedName name="Vehicle3">'[12]Study request'!#REF!</definedName>
    <definedName name="Vehicle4" localSheetId="2">#REF!</definedName>
    <definedName name="Vehicle4" localSheetId="1">#REF!</definedName>
    <definedName name="Vehicle4">#REF!</definedName>
    <definedName name="VehicleOct" localSheetId="1">#REF!</definedName>
    <definedName name="VehicleOct">#REF!</definedName>
    <definedName name="Volume" localSheetId="1">#REF!</definedName>
    <definedName name="Volume">#REF!</definedName>
    <definedName name="Volume1" localSheetId="2">'[1]New discovery PK study request'!$D$42</definedName>
    <definedName name="Volume1">'[2]New discovery PK study request'!$D$42</definedName>
    <definedName name="Volume2" localSheetId="2">'[1]New discovery PK study request'!$D$43</definedName>
    <definedName name="Volume2">'[2]New discovery PK study request'!$D$43</definedName>
    <definedName name="Volume3" localSheetId="2">'[1]New discovery PK study request'!$D$44</definedName>
    <definedName name="Volume3">'[2]New discovery PK study request'!$D$44</definedName>
    <definedName name="washout">[16]data_Blood!$W$47</definedName>
    <definedName name="WellLabels" localSheetId="2">#REF!</definedName>
    <definedName name="WellLabels" localSheetId="1">#REF!</definedName>
    <definedName name="WellLabels">#REF!</definedName>
    <definedName name="XLabels_iv" localSheetId="1">#REF!</definedName>
    <definedName name="XLabels_iv">#REF!</definedName>
    <definedName name="XLabels_po" localSheetId="1">#REF!</definedName>
    <definedName name="XLabels_po">#REF!</definedName>
    <definedName name="xy" localSheetId="1">#REF!</definedName>
    <definedName name="xy">#REF!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C3" i="4"/>
  <c r="C4" i="4"/>
  <c r="C5" i="4"/>
  <c r="C6" i="4"/>
  <c r="C7" i="4"/>
  <c r="C8" i="4"/>
  <c r="C9" i="4"/>
  <c r="C10" i="4"/>
  <c r="C11" i="4"/>
  <c r="C12" i="4"/>
  <c r="C13" i="4"/>
  <c r="C14" i="4"/>
  <c r="C15" i="4"/>
  <c r="C16" i="4"/>
  <c r="C17" i="4"/>
</calcChain>
</file>

<file path=xl/sharedStrings.xml><?xml version="1.0" encoding="utf-8"?>
<sst xmlns="http://schemas.openxmlformats.org/spreadsheetml/2006/main" count="477" uniqueCount="343">
  <si>
    <t>Submit the answers to the questions as per instructions below</t>
  </si>
  <si>
    <t/>
  </si>
  <si>
    <t>Please proceed through each worksheet using the tabs at the bottom of the window and fill out the required information. Read the instructions and guidance carefully before answering.</t>
  </si>
  <si>
    <t>General Guidelines and Cell Legend</t>
  </si>
  <si>
    <t>Please provide a precise and concise answer to the questions</t>
  </si>
  <si>
    <t>Please refer the protocols and guidance documents provided as attachments under each section for details</t>
  </si>
  <si>
    <t>Please use drop down list wherever available</t>
  </si>
  <si>
    <t>Please do not add or delete any rows and columns in the questionnaire excel sheets</t>
  </si>
  <si>
    <t>Please do not add or delete any sheets in questionnaire excel sheets</t>
  </si>
  <si>
    <t>Please attach supporting documents in space provided in Ariba only</t>
  </si>
  <si>
    <r>
      <t xml:space="preserve">Naming convention for response sheets: </t>
    </r>
    <r>
      <rPr>
        <b/>
        <i/>
        <sz val="10"/>
        <rFont val="Arial"/>
        <family val="2"/>
      </rPr>
      <t>&lt;SupplierName_Chemistry&gt;, &lt;SupplierName_PKS-inVitroADME&gt; and so on</t>
    </r>
  </si>
  <si>
    <t>Cells in the sheets have a meaning indicated by the colors as follows:</t>
  </si>
  <si>
    <t>Header Information: For your proposal to be accepted do not modify these cells</t>
  </si>
  <si>
    <t>Sub-header Information: For your proposal to be accepted do not modify these cells</t>
  </si>
  <si>
    <t>RFP Questions. For your proposal to be accepted do not modify these cells</t>
  </si>
  <si>
    <t>Formula fields. For your proposal to be accepted do not modify these cells</t>
  </si>
  <si>
    <r>
      <rPr>
        <b/>
        <sz val="10"/>
        <rFont val="Arial"/>
        <family val="2"/>
      </rPr>
      <t>Bidding data cells</t>
    </r>
    <r>
      <rPr>
        <sz val="10"/>
        <rFont val="Arial"/>
        <family val="2"/>
      </rPr>
      <t>. Only these cells are required to be filled in response to the RFP questions</t>
    </r>
  </si>
  <si>
    <r>
      <t xml:space="preserve">Answer may need attachment. Please attach the requireded file under given section in </t>
    </r>
    <r>
      <rPr>
        <b/>
        <sz val="10"/>
        <rFont val="Arial"/>
        <family val="2"/>
      </rPr>
      <t xml:space="preserve">Ariba only </t>
    </r>
  </si>
  <si>
    <t>Q. No.</t>
  </si>
  <si>
    <t>Section/Questions</t>
  </si>
  <si>
    <t>CRO response</t>
  </si>
  <si>
    <t>Scientific capabilities</t>
  </si>
  <si>
    <t>Scientific problem solving capability – Provide two examples in not more than 100 words each</t>
  </si>
  <si>
    <t>Example: 1 We synthesized 15 gms of tert-butyl ((4S,4aR,7aS)-octahydropyrano[2,3-c]pyrrol-4-yl)carbamate, a key compound with multiple chiral centres, in 11 steps. A strategic 3+2 cycloaddition reaction followed by ring opening produced the major diastereomer, achieved through careful cyclization conditions and crystallization. After testing over 10 conditions, an 80:20 diastereomeric mixture was obtained. Further optimization using varied solvents and crystallization methods enriched this mixture to 99%, overcoming challenges of epimerization. Three subsequent steps, avoiding strong bases, led to the final product. Our effort was acknowledged by citing Aurigene’s name in the publication J. Med. Chem. 2022, 65, 3798−3813.                                                                                                                                                                                                                                              Example 2: Our partner required 2, 4, 5 tri-substituted imidazole derivatives for specific SAR studies. There were no literature reports on how to synthesize these derivatives. Addressing this challenge required finding the appropriate starting materials and the shortest synthesis route to create over 100 derivatives for a focused library. Extensive optimization efforts led to identification of suitable conditions using which imidazole rings were synthesized with the appropriate substitutions in a two-step process. We strategically introduced an aldehyde at the correct position of imidazole, enabling the production of the derivatives using reductive amination. This approach allowed us to deliver the required final compounds within a short span of time.</t>
  </si>
  <si>
    <t>How do the chemists access scientific literature (SciFinder/Reaxys)</t>
  </si>
  <si>
    <t>We have provided access to both SciFinder and Reaxys for all chemists. Everyone can  access these databases and plan their synthetic schemes.
In addition, we hold monthly meetings and have a dedicated group to discuss chemistry issues and find solutions based on in-house experience. Our commitment to fostering collaboration and knowledge-sharing remains unwavering. This group utilizes our collective in-house experience to devise effective solutions, further solidifying our dedication to addressing chemistry-related challenges.</t>
  </si>
  <si>
    <t>Practical/theoretical experience in the following (provide Y/N)</t>
  </si>
  <si>
    <t>Ability Yes/No</t>
  </si>
  <si>
    <t>Number of transformations run per year</t>
  </si>
  <si>
    <t>1.3.1</t>
  </si>
  <si>
    <t>C-C bond formation </t>
  </si>
  <si>
    <t>Yes</t>
  </si>
  <si>
    <t>1.3.2</t>
  </si>
  <si>
    <t>Heterocycles </t>
  </si>
  <si>
    <t>1.3.3</t>
  </si>
  <si>
    <t>Carbohydrates </t>
  </si>
  <si>
    <t>1.3.4</t>
  </si>
  <si>
    <t>Peptides </t>
  </si>
  <si>
    <t>1.3.5</t>
  </si>
  <si>
    <t>Ozonolysis </t>
  </si>
  <si>
    <t>1.3.6</t>
  </si>
  <si>
    <t>Hydrogenation </t>
  </si>
  <si>
    <t>1.3.7</t>
  </si>
  <si>
    <t>Carbonylation </t>
  </si>
  <si>
    <t>1.3.8</t>
  </si>
  <si>
    <t>Photochemistry </t>
  </si>
  <si>
    <t>1.3.9</t>
  </si>
  <si>
    <t>Biocatalysis </t>
  </si>
  <si>
    <t>1.3.10</t>
  </si>
  <si>
    <t>Flow chemistry </t>
  </si>
  <si>
    <t>No</t>
  </si>
  <si>
    <t>1.3.11</t>
  </si>
  <si>
    <t>Surfactant chemistry </t>
  </si>
  <si>
    <t>1.3.12</t>
  </si>
  <si>
    <t>Glue/bifunctional degraders </t>
  </si>
  <si>
    <t>1.3.13</t>
  </si>
  <si>
    <t>Nucleosides </t>
  </si>
  <si>
    <t>1.3.14</t>
  </si>
  <si>
    <t>Natural Products</t>
  </si>
  <si>
    <t>1.3.15</t>
  </si>
  <si>
    <t>Microwave synthesis </t>
  </si>
  <si>
    <t>1.3.16</t>
  </si>
  <si>
    <t>Low Temperature (-78C) </t>
  </si>
  <si>
    <t>1.3.17</t>
  </si>
  <si>
    <t>High Temperature (&gt;160C) </t>
  </si>
  <si>
    <t>1.3.18</t>
  </si>
  <si>
    <t>Hydrogenation low pressure </t>
  </si>
  <si>
    <t>1.3.19</t>
  </si>
  <si>
    <t>Hydrogenation high pressure </t>
  </si>
  <si>
    <t>1.3.20</t>
  </si>
  <si>
    <t>Catalyst/ligand screening </t>
  </si>
  <si>
    <t>1.3.21</t>
  </si>
  <si>
    <t>Enantioselective synthesis  </t>
  </si>
  <si>
    <t>1.3.22</t>
  </si>
  <si>
    <t>Chiral resolution (salt formation)</t>
  </si>
  <si>
    <t>1.3.23</t>
  </si>
  <si>
    <t xml:space="preserve">Biocatalysis </t>
  </si>
  <si>
    <t>1.3.24</t>
  </si>
  <si>
    <t>Metal scavenging </t>
  </si>
  <si>
    <t>1.3.25</t>
  </si>
  <si>
    <t>Electrochemistry</t>
  </si>
  <si>
    <t>1.3.26</t>
  </si>
  <si>
    <t>Other (provide information) </t>
  </si>
  <si>
    <t xml:space="preserve">Phosphoramidite, Heavy atom, Click chemistry, Linker synthesis, Lipid synthesis, Polymerization reactions, Photoaffinity ligand synthesis, Fluorophore/Biotin-linked molecule synthesis. </t>
  </si>
  <si>
    <t>Provide the details mentioned in this table only if you have practical experience in the following types of chemistry</t>
  </si>
  <si>
    <t>Minimum scale (mg)</t>
  </si>
  <si>
    <t>Maximum scale (gms)</t>
  </si>
  <si>
    <t>1.4.1</t>
  </si>
  <si>
    <t>1.4.2</t>
  </si>
  <si>
    <t>1.4.3</t>
  </si>
  <si>
    <t>1.4.4</t>
  </si>
  <si>
    <t>1.4.5</t>
  </si>
  <si>
    <t>1.4.6</t>
  </si>
  <si>
    <t>1.4.7</t>
  </si>
  <si>
    <t>1.4.8</t>
  </si>
  <si>
    <t>1.4.9</t>
  </si>
  <si>
    <t>1.4.10</t>
  </si>
  <si>
    <t>1.4.11</t>
  </si>
  <si>
    <t>1.4.12</t>
  </si>
  <si>
    <t>1.4.13</t>
  </si>
  <si>
    <t>1.4.14</t>
  </si>
  <si>
    <t>1.4.15</t>
  </si>
  <si>
    <t>1.4.16</t>
  </si>
  <si>
    <t>1.4.17</t>
  </si>
  <si>
    <t>1.4.18</t>
  </si>
  <si>
    <t>1.4.19</t>
  </si>
  <si>
    <t>1.4.20</t>
  </si>
  <si>
    <t>1.4.21</t>
  </si>
  <si>
    <t>1.4.22</t>
  </si>
  <si>
    <t>1.4.23</t>
  </si>
  <si>
    <t>1.4.24</t>
  </si>
  <si>
    <t>1.4.25</t>
  </si>
  <si>
    <t>1.4.26</t>
  </si>
  <si>
    <t>Please provide evidence, references, examples, as well as SOPs and protocols to substantiate the information provided in your answers above. Attach one file, less than 1Mb if needed</t>
  </si>
  <si>
    <t>Not applicable</t>
  </si>
  <si>
    <t>Attach supporting document if any under section 4.3 in Ariba only</t>
  </si>
  <si>
    <t xml:space="preserve">Analytical and Purification Equipment/capabilities </t>
  </si>
  <si>
    <t>Number of equipment
onsite</t>
  </si>
  <si>
    <t>Equipment:
Chemist ratio</t>
  </si>
  <si>
    <t>1.6.1</t>
  </si>
  <si>
    <t>Normal phase medium pressure chromatography in the lab (ISCO or similar)</t>
  </si>
  <si>
    <t>1:7</t>
  </si>
  <si>
    <t>1.6.2</t>
  </si>
  <si>
    <t>NMR – H. C, F, P, N</t>
  </si>
  <si>
    <t>1:70</t>
  </si>
  <si>
    <t>1.6.3</t>
  </si>
  <si>
    <t>Ability to perform 2D NMR experiments</t>
  </si>
  <si>
    <t>1:140</t>
  </si>
  <si>
    <t>1.6.4</t>
  </si>
  <si>
    <t>Analytical HPLC for achiral and chiral compound analysis </t>
  </si>
  <si>
    <t>1:20</t>
  </si>
  <si>
    <t>1.6.5</t>
  </si>
  <si>
    <t>Analytical SFC for achiral and chiral compound analysis </t>
  </si>
  <si>
    <t>1:300</t>
  </si>
  <si>
    <t>1.6.6</t>
  </si>
  <si>
    <t>Prep HPLC for achiral and chiral compound isolation</t>
  </si>
  <si>
    <t>1:15</t>
  </si>
  <si>
    <t>1.6.7</t>
  </si>
  <si>
    <t>Prep SFC for achiral and chiral compound isolation</t>
  </si>
  <si>
    <t>1:150</t>
  </si>
  <si>
    <t>1.6.8</t>
  </si>
  <si>
    <t>LCMS </t>
  </si>
  <si>
    <t>1:25</t>
  </si>
  <si>
    <t>1.6.9</t>
  </si>
  <si>
    <t>GCMS </t>
  </si>
  <si>
    <t>1.6.10</t>
  </si>
  <si>
    <t>ICP-MS for trace metal analysis </t>
  </si>
  <si>
    <t>1.6.11</t>
  </si>
  <si>
    <t>IR spectrometer </t>
  </si>
  <si>
    <t>1.6.12</t>
  </si>
  <si>
    <t>UV-vis </t>
  </si>
  <si>
    <t>1.6.13</t>
  </si>
  <si>
    <t>X-ray crystal structure  </t>
  </si>
  <si>
    <t>1.6.14</t>
  </si>
  <si>
    <t>XRPD</t>
  </si>
  <si>
    <t>1.6.15</t>
  </si>
  <si>
    <t>Polarimeter to measure optical rotation </t>
  </si>
  <si>
    <t>1.6.16</t>
  </si>
  <si>
    <t>Melting point analyzer </t>
  </si>
  <si>
    <t>1:75</t>
  </si>
  <si>
    <t>1.6.17</t>
  </si>
  <si>
    <t>Ion chromatography for counterion measurement </t>
  </si>
  <si>
    <t>Ability to run Physchem assays mentioned below</t>
  </si>
  <si>
    <t>Available on site
Y/N</t>
  </si>
  <si>
    <t>Compounds assayed in 2022</t>
  </si>
  <si>
    <t>1.7.1</t>
  </si>
  <si>
    <t>Solubility</t>
  </si>
  <si>
    <t>1.7.2</t>
  </si>
  <si>
    <t>Shake flask</t>
  </si>
  <si>
    <t>1.7.3</t>
  </si>
  <si>
    <t>High throughput</t>
  </si>
  <si>
    <t>1.7.4</t>
  </si>
  <si>
    <t>logP</t>
  </si>
  <si>
    <t>1.7.5</t>
  </si>
  <si>
    <t>logD</t>
  </si>
  <si>
    <t>1.7.6</t>
  </si>
  <si>
    <t>pKa </t>
  </si>
  <si>
    <t>1.7.7</t>
  </si>
  <si>
    <t>Share sample protocols and details of infrastructure available</t>
  </si>
  <si>
    <t>1.7.8</t>
  </si>
  <si>
    <t>How do you control data quality.</t>
  </si>
  <si>
    <t>Reference compounds are incubated along with each set of compounds for all the studies and ensure reference compound data qualifies as per internal acceptance criteria. This applies for all the above studies.</t>
  </si>
  <si>
    <t>Attach supporting document if any under section 4.4 in Ariba only</t>
  </si>
  <si>
    <t>Productivity and Collaboration</t>
  </si>
  <si>
    <t>Ability to manage data using Novartis provided electronic lab notebooks (eLNB)</t>
  </si>
  <si>
    <t>For Singleton experiments</t>
  </si>
  <si>
    <t>Number</t>
  </si>
  <si>
    <t>Comments</t>
  </si>
  <si>
    <t>Average reactions per FTE/month (provide a number)</t>
  </si>
  <si>
    <t>NA</t>
  </si>
  <si>
    <t>Average steps completed per FTE/month (provide a number)</t>
  </si>
  <si>
    <t>Staff</t>
  </si>
  <si>
    <t>Total number of chemists</t>
  </si>
  <si>
    <t># PhD (provide a number)</t>
  </si>
  <si>
    <t># MS (provide a number)</t>
  </si>
  <si>
    <t>What is the current ratio of PhD:BS/MS (Novartis standard is 1:4)</t>
  </si>
  <si>
    <t>Please provide details of your team's collective professional experience related to the RFP. What is the professional experience of PhDs and MS in years. What specific skills and certifications do your team members possess that are relevant to this project?</t>
  </si>
  <si>
    <t>The total experience of our MS chemist is around 1320 years, and the total experience of our Ph.D. chemist is 450 years. Our chemists undergo in-house professional skill development training. NHMP and NHLP is a flagship program wherein mid-and senior level managers were trained for a year-long course on managerial skill sets. We alos conduct training on regular IT skill improvement for our junior chemists. We have a invited lecture series from external experts for HNMR and LCMS training. We conduct periodic training on various job safety analyses and purification techniques.</t>
  </si>
  <si>
    <t>How do your teams deal with challenges or obstacles, how did they overcome them? Please elaborate with example from a high performing team</t>
  </si>
  <si>
    <t>Challenges and obstacles arise in all forms of discovery research. Often, we encounter difficulties in accessing appropriate literature or encountering irreproducible literature reports. Additionally, challenges related to people and instruments can emerge. At Aurigene, we prioritize people highly. Mid to junior-level individuals are empowered to take ownership and tackle challenges. A recent example involves a highly productive team facing an issue with a critical instrument malfunctioning. Delivery deadlines loomed, with required compounds for an animal study; failure meant unnecessary animal sacrifice. The team engaged with engineers, improvised with a borrowed machine, and ensured timely delivery. Challenges also arise from personnel being unable to report due to family emergencies. On-time, complete deliveries remain uncompromised, with strategies in place to manage such situations. When reported literature fails, parallel testing of various alternatives helps us swiftly identify optimal solutions, safeguarding project progression.</t>
  </si>
  <si>
    <r>
      <t xml:space="preserve">Attrition rate in last 3 years </t>
    </r>
    <r>
      <rPr>
        <i/>
        <sz val="9"/>
        <color rgb="FF000000"/>
        <rFont val="Arial"/>
        <family val="2"/>
      </rPr>
      <t>(separately for each year)</t>
    </r>
    <r>
      <rPr>
        <sz val="9"/>
        <color rgb="FF000000"/>
        <rFont val="Arial"/>
        <family val="2"/>
      </rPr>
      <t xml:space="preserve"> - percentage</t>
    </r>
  </si>
  <si>
    <t>3.7.1</t>
  </si>
  <si>
    <t>3.7.2</t>
  </si>
  <si>
    <t>3.7.3</t>
  </si>
  <si>
    <t>Average number of years in company per FTE</t>
  </si>
  <si>
    <t xml:space="preserve">Please confirm there is one hood per chemist </t>
  </si>
  <si>
    <t>CADD / AI expertise</t>
  </si>
  <si>
    <t>Ability to do inSilico modelling and structure based modelling - provide details and relevant examples</t>
  </si>
  <si>
    <t xml:space="preserve">CADD team provides support to small molecule, peptide, target degradation and in silico ADMET prediction. Team has working experience to support integrated discovery projects through advance physics based modeling and AI/ML techniques. Key area of focus is related to potency, property, selectivity, Multi-Parameter Optimization, De Novo Design, Active Learning, Multibillion Virtual Screening, MD Simulations, Generative Models, ligand and structure based modeling. Group is led by experience computational chemist who supported earlier Novartis IDD collaboration (2010-2013) and co-invented compounds in those projects. </t>
  </si>
  <si>
    <t>No. of CADD experts in your company - PhD, MS, BS. What is the ratio of PhD:MS/BS? What is their relevant experience in this area?</t>
  </si>
  <si>
    <t>Team comprise of 8 members. 3 Ph.D.s averaging 15 years experience, 2 MS with 12 years experince and 3 MS with ~2 years experience.</t>
  </si>
  <si>
    <t>CADD softwares used </t>
  </si>
  <si>
    <t xml:space="preserve">Schrodinger, Molsoft, Nanome, Datawarrior, Cytoscape, KNIME and Opensource tool adopted from public domain e.g. GitHub. CADD team deploy traditional CADD tool, advance physics based simulation and AI/ML techniques to overcome project related challenges.  </t>
  </si>
  <si>
    <t>Capacity Management</t>
  </si>
  <si>
    <t>Flexibility &amp; adaptability to meet rapidly changing assignments &amp; chemistry needs - provide relevant example(s) from existing collaborations. How do you ramp up FTEs and infrastructure/equipment when needed during course of the project. Do you have buffer resources/capacity available to meet increasing project requirements</t>
  </si>
  <si>
    <t xml:space="preserve">Flexibility and adaptability are core strengths of Aurigene. We remain flexible in adopting new targets, reprioritizing or discontinuing them, and making changes in chemistry routes whenever necessary. Adopting and training in new chemistry is a regular on-the-job duty for our chemists. Recently, a group of chemists who were working on heterocyclic chemistry underwent training to transition into nucleoside chemistry. After 8-10 weeks of on-the-job training, most chemists were able to grasp the techniques of nucleoside chemistry and deliver high productivity.
Originally trained for standard chemistry, four junior chemists were assigned to the Parallel Synthesis lab. Within one month, they adopted the techniques of parallel synthesis and purification, successfully completing a library of 700 compounds within three months. We maintain a buffer of 15  % of chemists in the system who support various FFS projects. If this percentage drops below 10% due to their shift to FTE projects or resignations, we replenish that number so that we can ramp up 30-40 FTEs for any project at any given time. Revamping and adding Instrument can be planned and purchased withinin three months.  </t>
  </si>
  <si>
    <t>Procurement of material</t>
  </si>
  <si>
    <t>Average number of days to receive basic chemicals?</t>
  </si>
  <si>
    <t>Average number of days to receive ‘niche’ reagents?</t>
  </si>
  <si>
    <t>Percentage of local purchase Vs imports (%)</t>
  </si>
  <si>
    <t>Percentage imported from US (%)</t>
  </si>
  <si>
    <t>Percentage imported from EU (%)</t>
  </si>
  <si>
    <t>Percentage imported from China (%)</t>
  </si>
  <si>
    <t>Other imports - please specify</t>
  </si>
  <si>
    <t>0</t>
  </si>
  <si>
    <t>Chiral separations – SFC and HPLC</t>
  </si>
  <si>
    <t>Provide the list of SFC equipment</t>
  </si>
  <si>
    <t>SFC10-20 (1 No); SFC-175 (2 No)</t>
  </si>
  <si>
    <t>Provide the list of chiral stationary phases and dimensions on site for SFC</t>
  </si>
  <si>
    <t xml:space="preserve">Attached separately </t>
  </si>
  <si>
    <t>Provide the number of samples processed by SFC per week/month for the following size samples</t>
  </si>
  <si>
    <t>7.3.1</t>
  </si>
  <si>
    <t>&lt;1g</t>
  </si>
  <si>
    <t>7.3.2</t>
  </si>
  <si>
    <t>1 to 10g</t>
  </si>
  <si>
    <t>7.3.3</t>
  </si>
  <si>
    <t>&gt;10g</t>
  </si>
  <si>
    <t>Provide the average turn around time for SFC chiral separations of the following size samples (in days)</t>
  </si>
  <si>
    <t>7.4.1</t>
  </si>
  <si>
    <t>7.4.2</t>
  </si>
  <si>
    <t>7.4.3</t>
  </si>
  <si>
    <t>Provide list of normal/reversed phase HPLC equipment for chiral separations</t>
  </si>
  <si>
    <t>12</t>
  </si>
  <si>
    <t>Provide the list of chiral stationary phases and dimensions on site for normal/reversed phase HPLC chiral separations</t>
  </si>
  <si>
    <t>32</t>
  </si>
  <si>
    <t>Provide the number of chiral samples processed by normal/reversed phase HPLC per week/month for the following size samples</t>
  </si>
  <si>
    <t>7.7.1</t>
  </si>
  <si>
    <t>7.7.2</t>
  </si>
  <si>
    <t>7.7.3</t>
  </si>
  <si>
    <t>Provide the average turn around time for normal/reversed phase HPLC chiral separations for the following size samples (in days)</t>
  </si>
  <si>
    <t>7.8.1</t>
  </si>
  <si>
    <t>7.8.2</t>
  </si>
  <si>
    <t>7.8.3</t>
  </si>
  <si>
    <t>Please describe how would handle a chiral separation of &gt;100g of material.</t>
  </si>
  <si>
    <t xml:space="preserve">By using in house SFC-175 overnight without impacting regular work. If in house machine not availble, we will outsource the separation to our dedicated partner. </t>
  </si>
  <si>
    <t>Is a chiral purity tested/reported as part of chiral separation analytics?</t>
  </si>
  <si>
    <t>What information is provided in a chiral separations report. Please provide a sample report.</t>
  </si>
  <si>
    <t xml:space="preserve">We keep column info, mobile phase constituent, Solvent ratio, solvent flow and column temp in the report </t>
  </si>
  <si>
    <t>Attached</t>
  </si>
  <si>
    <t>Attach supporting document if any under section 4.5 in Ariba only</t>
  </si>
  <si>
    <t>Project focussed Library</t>
  </si>
  <si>
    <t>Experience to use the following chemistry types for library synthesis? 
Expected size of library 50-200 cpds</t>
  </si>
  <si>
    <t>Yes/No</t>
  </si>
  <si>
    <t>Number of compounds synthesized per annum</t>
  </si>
  <si>
    <t>8.1.1</t>
  </si>
  <si>
    <t>Amidation</t>
  </si>
  <si>
    <t>8.1.2</t>
  </si>
  <si>
    <t>Urea formation</t>
  </si>
  <si>
    <t>8.1.3</t>
  </si>
  <si>
    <t>Glutarimid cyclization</t>
  </si>
  <si>
    <t>8.1.4</t>
  </si>
  <si>
    <t>Reductive alkylation</t>
  </si>
  <si>
    <t>8.1.5</t>
  </si>
  <si>
    <t>Sulfonamide formation</t>
  </si>
  <si>
    <t>8.1.6</t>
  </si>
  <si>
    <t>Sn2</t>
  </si>
  <si>
    <t>8.1.7</t>
  </si>
  <si>
    <t>Suzuki CC coupling*</t>
  </si>
  <si>
    <t>8.1.8</t>
  </si>
  <si>
    <t>SnAr</t>
  </si>
  <si>
    <t>8.1.9</t>
  </si>
  <si>
    <t>Buchwald CN coupling</t>
  </si>
  <si>
    <t>8.1.10</t>
  </si>
  <si>
    <t>Epoxide opening</t>
  </si>
  <si>
    <t>8.1.11</t>
  </si>
  <si>
    <t>Alkylation</t>
  </si>
  <si>
    <t>8.1.12</t>
  </si>
  <si>
    <t>Grignard addition</t>
  </si>
  <si>
    <t>8.1.13</t>
  </si>
  <si>
    <t>Mitsunobu</t>
  </si>
  <si>
    <t>8.1.14</t>
  </si>
  <si>
    <t>Sonogashira CC coupling</t>
  </si>
  <si>
    <t>8.1.15</t>
  </si>
  <si>
    <t>Friedel-Craft acylation</t>
  </si>
  <si>
    <t>8.1.16</t>
  </si>
  <si>
    <t>2- and 3-component reactions</t>
  </si>
  <si>
    <t>Other questions:</t>
  </si>
  <si>
    <t>CRO Response</t>
  </si>
  <si>
    <t>8.2.1</t>
  </si>
  <si>
    <t>Does you company have the capability to purify library compounds to &gt;90% or &gt;95% (preferred)</t>
  </si>
  <si>
    <t>&gt;90%</t>
  </si>
  <si>
    <t>8.2.2</t>
  </si>
  <si>
    <t>What is the average number of compounds produced per chemist per month</t>
  </si>
  <si>
    <t>35</t>
  </si>
  <si>
    <t>8.2.3</t>
  </si>
  <si>
    <t>What are the average number of steps of chemistry per library</t>
  </si>
  <si>
    <t>3</t>
  </si>
  <si>
    <t>8.2.4</t>
  </si>
  <si>
    <t>Please provide the list of analytical/purification/ reformatting equipment you have to support library synthesis projects (indicate the quantity and the level of utilization)</t>
  </si>
  <si>
    <t>10 x 24 well blocks; Eppondrop Centrifuge x 2:  Mass directed prep HPLC x 2; Lyophilizer (36 adapers) x 1; Parallel filtration set up X 10; MPLC x 5</t>
  </si>
  <si>
    <t>8.2.5</t>
  </si>
  <si>
    <t>Are the equipment listed dedicated only to library synthesis?</t>
  </si>
  <si>
    <t>yes</t>
  </si>
  <si>
    <t>8.2.6</t>
  </si>
  <si>
    <t>Please specify any "in-house" software to facilitate parallel reaction/purification?</t>
  </si>
  <si>
    <t>no</t>
  </si>
  <si>
    <t>Attach supporting document if any under section 4.6 in Ariba only</t>
  </si>
  <si>
    <t>Please provide two Subject Matter Expert (SME) references from your existing clients who we can speak to about their experience while working with you in the above area of work?</t>
  </si>
  <si>
    <t>S. No.</t>
  </si>
  <si>
    <t>Number of FTE </t>
  </si>
  <si>
    <t>FTE rate per annum 
(USD)</t>
  </si>
  <si>
    <t>FTE cost - include salaries and benefits 
(USD)</t>
  </si>
  <si>
    <t>Project reagents cost
(USD)</t>
  </si>
  <si>
    <t>Infrastructure, Overheads and Management cost
(USD)</t>
  </si>
  <si>
    <t>Timeline to make the FTE available from the date of request
(in weeks)</t>
  </si>
  <si>
    <t>1 to 10 </t>
  </si>
  <si>
    <t>11 to 20 </t>
  </si>
  <si>
    <t>21 to 40</t>
  </si>
  <si>
    <t>41 to 60</t>
  </si>
  <si>
    <t>61 to 80</t>
  </si>
  <si>
    <t>81 to 100</t>
  </si>
  <si>
    <t>101 to 120</t>
  </si>
  <si>
    <t>121 to 140</t>
  </si>
  <si>
    <t>141 to 160</t>
  </si>
  <si>
    <t>161 to 180 </t>
  </si>
  <si>
    <t>181 to 200</t>
  </si>
  <si>
    <t>201 to 220</t>
  </si>
  <si>
    <t>221 to 240</t>
  </si>
  <si>
    <t>241 to 260</t>
  </si>
  <si>
    <t>261 to 280</t>
  </si>
  <si>
    <t>281 to 300</t>
  </si>
  <si>
    <t>Please provide fully inclusive FTE rate (All reagents, analytical, separations (achiral &amp; chiral), project management, shipping, etc. no limit on scale of chemistry). 
For your proposal to be accepted, please provide a fully inclusive FTE rate</t>
  </si>
  <si>
    <t>1. Mattew LaMarche;Matthew.Lamarche@sanofi.com. 
2. Janus Larsen : janus.larsen@saniona.com
3. Simon Bushell;  simon.bushell@entactbio.com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</si>
</sst>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0"/>
      <color theme="1"/>
      <name val="Arial"/>
      <family val="2"/>
    </font>
    <font>
      <b/>
      <sz val="9"/>
      <color indexed="12"/>
      <name val="Arial"/>
      <family val="2"/>
    </font>
    <font>
      <sz val="9"/>
      <color rgb="FF000000"/>
      <name val="Arial"/>
      <family val="2"/>
    </font>
    <font>
      <sz val="9"/>
      <color theme="1"/>
      <name val="Arial"/>
      <family val="2"/>
    </font>
    <font>
      <b/>
      <sz val="9"/>
      <color theme="1"/>
      <name val="Arial"/>
      <family val="2"/>
    </font>
    <font>
      <sz val="10"/>
      <color indexed="8"/>
      <name val="Arial"/>
      <family val="2"/>
    </font>
    <font>
      <sz val="9"/>
      <name val="Arial"/>
      <family val="2"/>
    </font>
    <font>
      <sz val="9"/>
      <color rgb="FF7F64A2"/>
      <name val="Arial"/>
      <family val="2"/>
    </font>
    <font>
      <strike/>
      <sz val="9"/>
      <color rgb="FFD13438"/>
      <name val="Arial"/>
      <family val="2"/>
    </font>
    <font>
      <strike/>
      <sz val="9"/>
      <name val="Arial"/>
      <family val="2"/>
    </font>
    <font>
      <sz val="9"/>
      <color rgb="FF00B050"/>
      <name val="Arial"/>
      <family val="2"/>
    </font>
    <font>
      <sz val="9"/>
      <color rgb="FF881798"/>
      <name val="Arial"/>
      <family val="2"/>
    </font>
    <font>
      <sz val="9"/>
      <color rgb="FF498205"/>
      <name val="Arial"/>
      <family val="2"/>
    </font>
    <font>
      <sz val="9"/>
      <color rgb="FFCC3595"/>
      <name val="Arial"/>
      <family val="2"/>
    </font>
    <font>
      <sz val="9"/>
      <color rgb="FFFF0000"/>
      <name val="Arial"/>
      <family val="2"/>
    </font>
    <font>
      <b/>
      <i/>
      <sz val="9"/>
      <name val="Arial"/>
      <family val="2"/>
    </font>
    <font>
      <i/>
      <sz val="9"/>
      <color rgb="FF000000"/>
      <name val="Arial"/>
      <family val="2"/>
    </font>
    <font>
      <i/>
      <sz val="9"/>
      <color theme="1"/>
      <name val="Arial"/>
      <family val="2"/>
    </font>
    <font>
      <sz val="10"/>
      <color theme="1"/>
      <name val="Arial"/>
      <family val="2"/>
      <charset val="1"/>
    </font>
    <font>
      <b/>
      <sz val="14"/>
      <name val="Arial"/>
      <family val="2"/>
    </font>
    <font>
      <sz val="10"/>
      <name val="Arial"/>
      <family val="2"/>
    </font>
    <font>
      <b/>
      <sz val="10"/>
      <name val="Arial"/>
      <family val="2"/>
    </font>
    <font>
      <b/>
      <u/>
      <sz val="10"/>
      <name val="Arial"/>
      <family val="2"/>
    </font>
    <font>
      <b/>
      <i/>
      <sz val="10"/>
      <name val="Arial"/>
      <family val="2"/>
    </font>
    <font>
      <b/>
      <sz val="10"/>
      <color indexed="12"/>
      <name val="Arial"/>
      <family val="2"/>
    </font>
    <font>
      <b/>
      <sz val="9"/>
      <color rgb="FFFF0000"/>
      <name val="Arial"/>
      <family val="2"/>
    </font>
  </fonts>
  <fills count="9">
    <fill>
      <patternFill patternType="none"/>
    </fill>
    <fill>
      <patternFill patternType="gray125"/>
    </fill>
    <fill>
      <patternFill patternType="solid">
        <fgColor indexed="31"/>
        <bgColor indexed="64"/>
      </patternFill>
    </fill>
    <fill>
      <patternFill patternType="solid">
        <fgColor theme="2" tint="-9.9978637043366805E-2"/>
        <bgColor indexed="64"/>
      </patternFill>
    </fill>
    <fill>
      <patternFill patternType="solid">
        <fgColor indexed="43"/>
        <bgColor indexed="64"/>
      </patternFill>
    </fill>
    <fill>
      <patternFill patternType="solid">
        <fgColor rgb="FFCCFF99"/>
        <bgColor indexed="64"/>
      </patternFill>
    </fill>
    <fill>
      <patternFill patternType="solid">
        <fgColor theme="0" tint="-4.9989318521683403E-2"/>
        <bgColor indexed="64"/>
      </patternFill>
    </fill>
    <fill>
      <patternFill patternType="solid">
        <fgColor indexed="9"/>
        <bgColor indexed="64"/>
      </patternFill>
    </fill>
    <fill>
      <patternFill patternType="solid">
        <fgColor theme="5"/>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2">
    <xf numFmtId="0" fontId="0" fillId="0" borderId="0"/>
    <xf numFmtId="0" fontId="18" fillId="0" borderId="0"/>
  </cellStyleXfs>
  <cellXfs count="88">
    <xf numFmtId="0" fontId="0" fillId="0" borderId="0" xfId="0"/>
    <xf numFmtId="0" fontId="1" fillId="2" borderId="0" xfId="0" applyFont="1" applyFill="1" applyAlignment="1">
      <alignment horizontal="center" vertical="top"/>
    </xf>
    <xf numFmtId="0" fontId="1" fillId="2" borderId="0" xfId="0" applyFont="1" applyFill="1" applyAlignment="1">
      <alignment horizontal="center" vertical="top" wrapText="1"/>
    </xf>
    <xf numFmtId="0" fontId="2" fillId="0" borderId="0" xfId="0" applyFont="1" applyAlignment="1">
      <alignment vertical="top"/>
    </xf>
    <xf numFmtId="0" fontId="2" fillId="0" borderId="0" xfId="0" applyFont="1" applyAlignment="1">
      <alignment horizontal="center" vertical="top"/>
    </xf>
    <xf numFmtId="0" fontId="3" fillId="0" borderId="0" xfId="0" applyFont="1" applyAlignment="1">
      <alignment vertical="top"/>
    </xf>
    <xf numFmtId="0" fontId="4" fillId="3" borderId="0" xfId="0" applyFont="1" applyFill="1" applyAlignment="1">
      <alignment horizontal="right" vertical="top"/>
    </xf>
    <xf numFmtId="0" fontId="4" fillId="3" borderId="0" xfId="0" applyFont="1" applyFill="1" applyAlignment="1">
      <alignment horizontal="left" vertical="top"/>
    </xf>
    <xf numFmtId="0" fontId="4" fillId="0" borderId="0" xfId="0" applyFont="1" applyAlignment="1">
      <alignment vertical="top"/>
    </xf>
    <xf numFmtId="9" fontId="3" fillId="0" borderId="0" xfId="0" applyNumberFormat="1" applyFont="1" applyAlignment="1">
      <alignment vertical="top"/>
    </xf>
    <xf numFmtId="0" fontId="2" fillId="0" borderId="0" xfId="0" applyFont="1" applyAlignment="1">
      <alignment horizontal="left" vertical="top"/>
    </xf>
    <xf numFmtId="49" fontId="5" fillId="4" borderId="1" xfId="0" applyNumberFormat="1" applyFont="1" applyFill="1" applyBorder="1" applyAlignment="1" applyProtection="1">
      <alignment horizontal="left" vertical="top" wrapText="1"/>
      <protection locked="0"/>
    </xf>
    <xf numFmtId="0" fontId="2" fillId="0" borderId="0" xfId="0" applyFont="1" applyAlignment="1">
      <alignment horizontal="left" vertical="top" wrapText="1"/>
    </xf>
    <xf numFmtId="0" fontId="4" fillId="3" borderId="0" xfId="0" applyFont="1" applyFill="1" applyAlignment="1">
      <alignment horizontal="center" vertical="top" wrapText="1"/>
    </xf>
    <xf numFmtId="0" fontId="4" fillId="0" borderId="0" xfId="0" applyFont="1" applyAlignment="1">
      <alignment horizontal="center" vertical="top" wrapText="1"/>
    </xf>
    <xf numFmtId="0" fontId="2" fillId="0" borderId="0" xfId="0" applyFont="1" applyAlignment="1">
      <alignment horizontal="center" vertical="top" wrapText="1"/>
    </xf>
    <xf numFmtId="0" fontId="6" fillId="0" borderId="0" xfId="0" applyFont="1" applyAlignment="1">
      <alignment horizontal="center" vertical="top" wrapText="1"/>
    </xf>
    <xf numFmtId="0" fontId="3" fillId="0" borderId="0" xfId="0" applyFont="1" applyAlignment="1">
      <alignment horizontal="right" vertical="top"/>
    </xf>
    <xf numFmtId="0" fontId="6" fillId="0" borderId="0" xfId="0" applyFont="1" applyAlignment="1">
      <alignment horizontal="left" vertical="top" wrapText="1"/>
    </xf>
    <xf numFmtId="1" fontId="5" fillId="4" borderId="1" xfId="0" applyNumberFormat="1" applyFont="1" applyFill="1" applyBorder="1" applyAlignment="1" applyProtection="1">
      <alignment horizontal="left" vertical="top" wrapText="1"/>
      <protection locked="0"/>
    </xf>
    <xf numFmtId="0" fontId="7" fillId="0" borderId="0" xfId="0" applyFont="1" applyAlignment="1">
      <alignment horizontal="left" vertical="top" wrapText="1"/>
    </xf>
    <xf numFmtId="0" fontId="2" fillId="0" borderId="0" xfId="0" applyFont="1" applyAlignment="1">
      <alignment horizontal="justify" vertical="top" wrapText="1"/>
    </xf>
    <xf numFmtId="0" fontId="8" fillId="0" borderId="0" xfId="0" applyFont="1" applyAlignment="1">
      <alignment horizontal="left" vertical="top" wrapText="1"/>
    </xf>
    <xf numFmtId="0" fontId="6" fillId="0" borderId="0" xfId="0" applyFont="1" applyAlignment="1">
      <alignment horizontal="justify"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1" fontId="5" fillId="4" borderId="2" xfId="0" applyNumberFormat="1" applyFont="1" applyFill="1" applyBorder="1" applyAlignment="1" applyProtection="1">
      <alignment horizontal="left" vertical="top" wrapText="1"/>
      <protection locked="0"/>
    </xf>
    <xf numFmtId="0" fontId="4" fillId="3" borderId="0" xfId="0" applyFont="1" applyFill="1" applyAlignment="1">
      <alignment horizontal="left" vertical="top" wrapText="1"/>
    </xf>
    <xf numFmtId="49" fontId="5" fillId="4" borderId="3" xfId="0" applyNumberFormat="1" applyFont="1" applyFill="1" applyBorder="1" applyAlignment="1" applyProtection="1">
      <alignment horizontal="left" vertical="top" wrapText="1"/>
      <protection locked="0"/>
    </xf>
    <xf numFmtId="0" fontId="2" fillId="5" borderId="4" xfId="0" applyFont="1" applyFill="1" applyBorder="1" applyAlignment="1">
      <alignment horizontal="left" vertical="top" wrapText="1"/>
    </xf>
    <xf numFmtId="0" fontId="3" fillId="0" borderId="0" xfId="0" applyFont="1" applyAlignment="1">
      <alignment horizontal="left" vertical="top"/>
    </xf>
    <xf numFmtId="0" fontId="2" fillId="0" borderId="0" xfId="0" quotePrefix="1" applyFont="1" applyAlignment="1">
      <alignment horizontal="center" vertical="top"/>
    </xf>
    <xf numFmtId="20" fontId="2" fillId="0" borderId="0" xfId="0" applyNumberFormat="1" applyFont="1" applyAlignment="1">
      <alignment horizontal="center" vertical="top"/>
    </xf>
    <xf numFmtId="49" fontId="2" fillId="0" borderId="0" xfId="0" applyNumberFormat="1" applyFont="1" applyAlignment="1">
      <alignment horizontal="center" vertical="top"/>
    </xf>
    <xf numFmtId="0" fontId="6" fillId="0" borderId="0" xfId="0" applyFont="1" applyAlignment="1">
      <alignment horizontal="left" vertical="top"/>
    </xf>
    <xf numFmtId="0" fontId="3" fillId="0" borderId="0" xfId="0" applyFont="1" applyAlignment="1">
      <alignment horizontal="center" vertical="top" wrapText="1"/>
    </xf>
    <xf numFmtId="0" fontId="4" fillId="3" borderId="0" xfId="0" applyFont="1" applyFill="1" applyAlignment="1">
      <alignment horizontal="right" vertical="top" wrapText="1"/>
    </xf>
    <xf numFmtId="0" fontId="15" fillId="6" borderId="0" xfId="0" applyFont="1" applyFill="1" applyAlignment="1">
      <alignment horizontal="left" vertical="top" wrapText="1"/>
    </xf>
    <xf numFmtId="0" fontId="4" fillId="3" borderId="0" xfId="0" applyFont="1" applyFill="1" applyAlignment="1">
      <alignment horizontal="center" vertical="top"/>
    </xf>
    <xf numFmtId="0" fontId="3" fillId="0" borderId="0" xfId="0" applyFont="1" applyAlignment="1">
      <alignment horizontal="left" vertical="top" wrapText="1"/>
    </xf>
    <xf numFmtId="0" fontId="6" fillId="0" borderId="0" xfId="0" applyFont="1" applyAlignment="1">
      <alignment vertical="top"/>
    </xf>
    <xf numFmtId="0" fontId="14" fillId="0" borderId="0" xfId="0" applyFont="1" applyAlignment="1">
      <alignment vertical="top"/>
    </xf>
    <xf numFmtId="2" fontId="3" fillId="0" borderId="0" xfId="0" applyNumberFormat="1" applyFont="1" applyAlignment="1">
      <alignment horizontal="right" vertical="top"/>
    </xf>
    <xf numFmtId="0" fontId="4"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vertical="top" wrapText="1"/>
    </xf>
    <xf numFmtId="0" fontId="3" fillId="0" borderId="0" xfId="0" applyFont="1" applyAlignment="1">
      <alignment vertical="top" wrapText="1"/>
    </xf>
    <xf numFmtId="0" fontId="17" fillId="0" borderId="0" xfId="0" applyFont="1" applyAlignment="1">
      <alignment horizontal="left" vertical="top" wrapText="1"/>
    </xf>
    <xf numFmtId="0" fontId="16" fillId="0" borderId="0" xfId="0" applyFont="1" applyAlignment="1">
      <alignment vertical="top" wrapText="1"/>
    </xf>
    <xf numFmtId="0" fontId="3" fillId="0" borderId="0" xfId="1" applyFont="1" applyAlignment="1">
      <alignment horizontal="center" vertical="top"/>
    </xf>
    <xf numFmtId="0" fontId="3" fillId="0" borderId="0" xfId="1" applyFont="1" applyAlignment="1">
      <alignment vertical="top"/>
    </xf>
    <xf numFmtId="0" fontId="22" fillId="7" borderId="8" xfId="0" applyFont="1" applyFill="1" applyBorder="1" applyAlignment="1">
      <alignment horizontal="left" vertical="top" wrapText="1"/>
    </xf>
    <xf numFmtId="0" fontId="20" fillId="7" borderId="8" xfId="0" applyFont="1" applyFill="1" applyBorder="1" applyAlignment="1">
      <alignment horizontal="left" vertical="top" wrapText="1"/>
    </xf>
    <xf numFmtId="0" fontId="20" fillId="7" borderId="9" xfId="0" applyFont="1" applyFill="1" applyBorder="1" applyAlignment="1">
      <alignment horizontal="left" vertical="top" wrapText="1"/>
    </xf>
    <xf numFmtId="0" fontId="21" fillId="7" borderId="5" xfId="0" applyFont="1" applyFill="1" applyBorder="1" applyAlignment="1">
      <alignment horizontal="left" vertical="top" wrapText="1"/>
    </xf>
    <xf numFmtId="0" fontId="24" fillId="2" borderId="1" xfId="0" applyFont="1" applyFill="1" applyBorder="1" applyAlignment="1">
      <alignment horizontal="left" wrapText="1"/>
    </xf>
    <xf numFmtId="0" fontId="21" fillId="7" borderId="7" xfId="0" applyFont="1" applyFill="1" applyBorder="1" applyAlignment="1">
      <alignment horizontal="left" vertical="top" wrapText="1"/>
    </xf>
    <xf numFmtId="0" fontId="21" fillId="7" borderId="8" xfId="0" applyFont="1" applyFill="1" applyBorder="1" applyAlignment="1">
      <alignment horizontal="left" vertical="top" wrapText="1"/>
    </xf>
    <xf numFmtId="0" fontId="21" fillId="7" borderId="9" xfId="0" applyFont="1" applyFill="1" applyBorder="1" applyAlignment="1">
      <alignment horizontal="left" vertical="top" wrapText="1"/>
    </xf>
    <xf numFmtId="0" fontId="4" fillId="3" borderId="4" xfId="0" applyFont="1" applyFill="1" applyBorder="1" applyAlignment="1">
      <alignment horizontal="right" vertical="top"/>
    </xf>
    <xf numFmtId="0" fontId="21" fillId="7" borderId="0" xfId="0" applyFont="1" applyFill="1" applyAlignment="1">
      <alignment horizontal="left" vertical="top" wrapText="1"/>
    </xf>
    <xf numFmtId="0" fontId="5" fillId="7" borderId="4" xfId="0" applyFont="1" applyFill="1" applyBorder="1" applyAlignment="1">
      <alignment horizontal="left" vertical="top" wrapText="1"/>
    </xf>
    <xf numFmtId="1" fontId="5" fillId="8" borderId="4" xfId="0" applyNumberFormat="1" applyFont="1" applyFill="1" applyBorder="1" applyAlignment="1" applyProtection="1">
      <alignment horizontal="center" vertical="top" wrapText="1"/>
      <protection locked="0"/>
    </xf>
    <xf numFmtId="0" fontId="5" fillId="4" borderId="4" xfId="0" applyFont="1" applyFill="1" applyBorder="1" applyAlignment="1">
      <alignment horizontal="left" vertical="top" wrapText="1"/>
    </xf>
    <xf numFmtId="0" fontId="20" fillId="7" borderId="10" xfId="0" applyFont="1" applyFill="1" applyBorder="1" applyAlignment="1">
      <alignment vertical="top" wrapText="1"/>
    </xf>
    <xf numFmtId="0" fontId="20" fillId="7" borderId="11" xfId="0" applyFont="1" applyFill="1" applyBorder="1" applyAlignment="1">
      <alignment vertical="top" wrapText="1"/>
    </xf>
    <xf numFmtId="0" fontId="5" fillId="5" borderId="4" xfId="0" applyFont="1" applyFill="1" applyBorder="1" applyAlignment="1">
      <alignment horizontal="left" vertical="top" wrapText="1"/>
    </xf>
    <xf numFmtId="0" fontId="1" fillId="2" borderId="4" xfId="0" applyFont="1" applyFill="1" applyBorder="1" applyAlignment="1">
      <alignment horizontal="center" vertical="top"/>
    </xf>
    <xf numFmtId="0" fontId="1" fillId="2" borderId="4" xfId="0" applyFont="1" applyFill="1" applyBorder="1" applyAlignment="1">
      <alignment horizontal="center" vertical="top" wrapText="1"/>
    </xf>
    <xf numFmtId="0" fontId="3" fillId="0" borderId="4" xfId="0" applyFont="1" applyBorder="1" applyAlignment="1">
      <alignment vertical="top"/>
    </xf>
    <xf numFmtId="0" fontId="6" fillId="0" borderId="4" xfId="0" applyFont="1" applyBorder="1" applyAlignment="1">
      <alignment horizontal="center" vertical="top"/>
    </xf>
    <xf numFmtId="1" fontId="5" fillId="4" borderId="4" xfId="0" applyNumberFormat="1" applyFont="1" applyFill="1" applyBorder="1" applyAlignment="1" applyProtection="1">
      <alignment horizontal="left" vertical="top" wrapText="1"/>
      <protection locked="0"/>
    </xf>
    <xf numFmtId="0" fontId="20" fillId="0" borderId="8" xfId="0" applyFont="1" applyBorder="1" applyAlignment="1">
      <alignment vertical="top" wrapText="1"/>
    </xf>
    <xf numFmtId="0" fontId="20" fillId="0" borderId="0" xfId="0" applyFont="1" applyAlignment="1">
      <alignment vertical="top" wrapText="1"/>
    </xf>
    <xf numFmtId="0" fontId="19" fillId="0" borderId="5" xfId="0" applyFont="1" applyBorder="1" applyAlignment="1">
      <alignment vertical="center" wrapText="1"/>
    </xf>
    <xf numFmtId="0" fontId="20" fillId="0" borderId="6" xfId="0" applyFont="1" applyBorder="1" applyAlignment="1">
      <alignment vertical="center" wrapText="1"/>
    </xf>
    <xf numFmtId="0" fontId="20" fillId="0" borderId="7" xfId="0" applyFont="1" applyBorder="1" applyAlignment="1">
      <alignment vertical="center" wrapText="1"/>
    </xf>
    <xf numFmtId="0" fontId="21" fillId="0" borderId="5" xfId="0" applyFont="1" applyBorder="1" applyAlignment="1">
      <alignment vertical="center" wrapText="1"/>
    </xf>
    <xf numFmtId="0" fontId="21" fillId="0" borderId="6" xfId="0" applyFont="1" applyBorder="1" applyAlignment="1">
      <alignment vertical="center" wrapText="1"/>
    </xf>
    <xf numFmtId="0" fontId="21" fillId="0" borderId="7" xfId="0" applyFont="1" applyBorder="1" applyAlignment="1">
      <alignment vertical="center" wrapText="1"/>
    </xf>
    <xf numFmtId="0" fontId="22" fillId="7" borderId="5" xfId="0" applyFont="1" applyFill="1" applyBorder="1" applyAlignment="1">
      <alignment horizontal="left" vertical="top" wrapText="1"/>
    </xf>
    <xf numFmtId="0" fontId="22" fillId="7" borderId="6" xfId="0" applyFont="1" applyFill="1" applyBorder="1" applyAlignment="1">
      <alignment horizontal="left" vertical="top" wrapText="1"/>
    </xf>
    <xf numFmtId="0" fontId="22" fillId="7" borderId="7" xfId="0" applyFont="1" applyFill="1" applyBorder="1" applyAlignment="1">
      <alignment horizontal="left" vertical="top" wrapText="1"/>
    </xf>
    <xf numFmtId="0" fontId="14" fillId="0" borderId="0" xfId="0" applyFont="1" applyAlignment="1">
      <alignment horizontal="center" vertical="top" wrapText="1"/>
    </xf>
    <xf numFmtId="0" fontId="25" fillId="0" borderId="0" xfId="0" applyFont="1" applyAlignment="1">
      <alignment horizontal="left" vertical="top" wrapText="1"/>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styles" Target="style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novartis.net/Users/desrasa2/AppData/Local/Microsoft/Windows/INetCache/Content.Outlook/UXVPMTB5/S356%20Excretion%20data%20in%20dog_IKG163%20summary%20report%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novartis.net/Users/desrasa2/AppData/Local/Microsoft/Windows/INetCache/Content.Outlook/UXVPMTB5/S356%20Excretion%20data%20in%20dog_IKG163%20summary%20report%20(0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novartis.net/Inbox/PHCHBS-I21143/Projects/NS/NS98BET/D270%20(Mouse%20PK%20i.v%20only%20CFR082%20NS98BET)/Experimental/D270_B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hare.novartis.net/Inbox/PHCHBS-I21143/Projects/NS/NS98BET/D270%20(Mouse%20PK%20i.v%20only%20CFR082%20NS98BET)/Experimental/D270_B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ATI\ATI9CGS\S222%20(In%20Vivo%20MetID%20(BDC)%20ATI9CGS%20KRE247one-in-one%20iv)\Report\MAP-CHBS-21-S222_V2_SPI_Draft_MB.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ibr.novartis.net\CHBS-DFS\LABDATA\inbox\PHCHBS-I21143\In%20Vivo%20Rodent%20Lab\Surgery_BS163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y.novartis.net/sites/synlab/Shared%20Documents/x_internal_ORE_DBAS/Q710_CPP%20Formulatio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Q710_CPP%20Formulatio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my.novartis.net/Users/kamhoju1/AppData/Roaming/Microsoft/Excel/P463_RJT779_Blood%20(version%201).xlsb"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hare.novartis.net/Users/kamhoju1/AppData/Roaming/Microsoft/Excel/P463_RJT779_Blood%20(version%201).xlsb"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my.novartis.net/Users/suettma3/AppData/Local/Microsoft/Windows/INetCache/Content.Outlook/VICPA4T2/Example%20BDC%20template.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hare.novartis.net/Users/suettma3/AppData/Local/Microsoft/Windows/INetCache/Content.Outlook/VICPA4T2/Example%20BDC%20template.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my.novartis.net/sites/synlab/Shared%20Documents/x_internal_ORE_DBAS/S222_PK.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S222_PK.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PK%20Sciences\MAP9MPE\R639%20(Dog%20NIBCo%20Methodo%20BGV630%20iv%20only)\Report\MAP9MPE_R639_SummaryReport.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ONC\ONC9WRN\P463%20(Rat%20BDC%20RJT779%20iv%20only)\Report\ONC9WRN_P463_SummaryReport.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my.novartis.net/sites/IntegratedResearch-PKSTaskForce/Shared%20Documents/General/Cassette%202%20LO%20Validation%20PAS-2022-0015_CRL_Final.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Cassette%202%20LO%20Validation%20PAS-2022-0015_CRL_Final.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my.novartis.net/Inbox/PHCHBS-I21143/Projects/NS/NS99MG5%20(mGluR5)/A958%20(Rat%20PK%20mGluR5%20Cassette%203)/Experimental/MON_A95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share.novartis.net/Inbox/PHCHBS-I21143/Projects/NS/NS99MG5%20(mGluR5)/A958%20(Rat%20PK%20mGluR5%20Cassette%203)/Experimental/MON_A95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nibr.novartis.net\CHBS-DFS\Users\gassmer1\AppData\Local\Microsoft\Windows\Temporary%20Internet%20Files\Content.Outlook\PN6IQYUG\Formulation%20descriptio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my.novartis.net/sites/IntegratedResearch-PKSTaskForce/Shared%20Documents/General/San%20Diego%20Rat%20PK%20Compounds%20Jun202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San%20Diego%20Rat%20PK%20Compounds%20Jun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Summary"/>
      <sheetName val="USCA-S356 NVP-IKG163-NX-6"/>
      <sheetName val="Mass balance Summary"/>
      <sheetName val="Dog 1 Urinary Clearance"/>
      <sheetName val="Dog 2 Urinary Clearance"/>
      <sheetName val="Dog 3 Urinary Clearance"/>
      <sheetName val="Dose Administration"/>
      <sheetName val="Collection Times"/>
      <sheetName val="Clinical Observations"/>
      <sheetName val="Urine Weights"/>
      <sheetName val="Feces Weights"/>
      <sheetName val="Formulation Record"/>
      <sheetName val="Pharon Excretion "/>
      <sheetName val="PKS PK assessment"/>
      <sheetName val="Abbreviations"/>
      <sheetName val="Formulation"/>
      <sheetName val="Elements"/>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Summary"/>
      <sheetName val="USCA-S356 NVP-IKG163-NX-6"/>
      <sheetName val="Mass balance Summary"/>
      <sheetName val="Dog 1 Urinary Clearance"/>
      <sheetName val="Dog 2 Urinary Clearance"/>
      <sheetName val="Dog 3 Urinary Clearance"/>
      <sheetName val="Dose Administration"/>
      <sheetName val="Collection Times"/>
      <sheetName val="Clinical Observations"/>
      <sheetName val="Urine Weights"/>
      <sheetName val="Feces Weights"/>
      <sheetName val="Formulation Record"/>
      <sheetName val="Pharon Excretion "/>
      <sheetName val="PKS PK assessment"/>
      <sheetName val="Abbreviations"/>
      <sheetName val="Formulation"/>
      <sheetName val="Elements"/>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ompounds"/>
      <sheetName val="SampleList"/>
      <sheetName val="InitialWeight"/>
      <sheetName val="SamplePrep"/>
      <sheetName val="Analytics"/>
      <sheetName val="Chromatogram"/>
      <sheetName val="sciex meth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ompounds"/>
      <sheetName val="SampleList"/>
      <sheetName val="InitialWeight"/>
      <sheetName val="SamplePrep"/>
      <sheetName val="Analytics"/>
      <sheetName val="Chromatogram"/>
      <sheetName val="sciex meth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Formulation"/>
      <sheetName val="Pharon for conc-time data"/>
      <sheetName val="Mass balance Analyte"/>
      <sheetName val="Mass balance Metabolite"/>
      <sheetName val="SamplingProtocol"/>
      <sheetName val="Initial Weight"/>
      <sheetName val="SamplePrep"/>
      <sheetName val="SequenceList"/>
      <sheetName val="Analytics"/>
      <sheetName val="Chromatogramm"/>
      <sheetName val="OVY230"/>
      <sheetName val="KRE247"/>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gery"/>
      <sheetName val="Hidden"/>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 Formulation_54700"/>
      <sheetName val="CPP Formulation_54701"/>
      <sheetName val="CPP Formulation_54702"/>
      <sheetName val="DropDownBoxList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 Formulation_54700"/>
      <sheetName val="CPP Formulation_54701"/>
      <sheetName val="CPP Formulation_54702"/>
      <sheetName val="DropDownBox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alibration"/>
      <sheetName val="Samples"/>
      <sheetName val="ResultsPK"/>
      <sheetName val="PKCalculation"/>
      <sheetName val="ID_ConcCorr"/>
      <sheetName val="Hidden"/>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alibration"/>
      <sheetName val="Samples"/>
      <sheetName val="ResultsPK"/>
      <sheetName val="PKCalculation"/>
      <sheetName val="ID_ConcCorr"/>
      <sheetName val="Hidden"/>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udy request"/>
      <sheetName val="Mass balance Summary"/>
      <sheetName val="Blood Summary"/>
      <sheetName val="PKS-GBL PK"/>
      <sheetName val="Pharon Excretion "/>
      <sheetName val="Abbreviations"/>
    </sheetNames>
    <sheetDataSet>
      <sheetData sheetId="0"/>
      <sheetData sheetId="1"/>
      <sheetData sheetId="2"/>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udy request"/>
      <sheetName val="Mass balance Summary"/>
      <sheetName val="Blood Summary"/>
      <sheetName val="PKS-GBL PK"/>
      <sheetName val="Pharon Excretion "/>
      <sheetName val="Abbreviations"/>
    </sheetNames>
    <sheetDataSet>
      <sheetData sheetId="0"/>
      <sheetData sheetId="1"/>
      <sheetData sheetId="2"/>
      <sheetData sheetId="3"/>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Surgery"/>
      <sheetName val="FormulationProtocol"/>
      <sheetName val="SamplingProtocol"/>
      <sheetName val="Abbreviations"/>
    </sheetNames>
    <sheetDataSet>
      <sheetData sheetId="0" refreshError="1"/>
      <sheetData sheetId="1"/>
      <sheetData sheetId="2" refreshError="1"/>
      <sheetData sheetId="3" refreshError="1"/>
      <sheetData sheetId="4"/>
      <sheetData sheetId="5"/>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Surgery"/>
      <sheetName val="FormulationProtocol"/>
      <sheetName val="SamplingProtocol"/>
      <sheetName val="Abbreviations"/>
    </sheetNames>
    <sheetDataSet>
      <sheetData sheetId="0" refreshError="1"/>
      <sheetData sheetId="1"/>
      <sheetData sheetId="2" refreshError="1"/>
      <sheetData sheetId="3" refreshError="1"/>
      <sheetData sheetId="4"/>
      <sheetData sheetId="5"/>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RawData"/>
      <sheetName val="TissueFluid"/>
      <sheetName val="PKS in vivo PKPD"/>
      <sheetName val="PKS PKPD assessment"/>
      <sheetName val="SamplePrep"/>
      <sheetName val="Analytics"/>
      <sheetName val="Abbreviations"/>
      <sheetName val="MAP9MPE_R639_SummaryReport"/>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data_Blood"/>
      <sheetName val="RawData"/>
      <sheetName val="Summary"/>
      <sheetName val="TissueFluid"/>
      <sheetName val="SamplePrep"/>
      <sheetName val="Analytics"/>
      <sheetName val="Abbreviations"/>
      <sheetName val="mass balanc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xp_Plan"/>
      <sheetName val="Samples"/>
      <sheetName val="EinwAnalytik"/>
      <sheetName val="Compounds"/>
      <sheetName val="Ionsheet"/>
      <sheetName val="MSAnalytics"/>
      <sheetName val="MSMSAnalytics (Quattro)"/>
      <sheetName val="MSMSAnalytics"/>
      <sheetName val="Chromatogram"/>
      <sheetName val="Extraction"/>
      <sheetName val="SamplePrepMethods"/>
      <sheetName val="Com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xp_Plan"/>
      <sheetName val="Samples"/>
      <sheetName val="EinwAnalytik"/>
      <sheetName val="Compounds"/>
      <sheetName val="Ionsheet"/>
      <sheetName val="MSAnalytics"/>
      <sheetName val="MSMSAnalytics (Quattro)"/>
      <sheetName val="MSMSAnalytics"/>
      <sheetName val="Chromatogram"/>
      <sheetName val="Extraction"/>
      <sheetName val="SamplePrepMethods"/>
      <sheetName val="Com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spension Scoring system"/>
      <sheetName val="p.o. Formulation"/>
      <sheetName val="Sheet1"/>
      <sheetName val="Sheet4"/>
    </sheetNames>
    <sheetDataSet>
      <sheetData sheetId="0"/>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6"/>
  <sheetViews>
    <sheetView showGridLines="0" topLeftCell="A2" zoomScale="90" zoomScaleNormal="90" workbookViewId="0">
      <selection activeCell="C18" sqref="C18"/>
    </sheetView>
  </sheetViews>
  <sheetFormatPr defaultRowHeight="12.5" x14ac:dyDescent="0.25"/>
  <cols>
    <col min="1" max="1" width="2.7265625" customWidth="1"/>
    <col min="2" max="2" width="4" customWidth="1"/>
    <col min="3" max="3" width="11.453125" customWidth="1"/>
    <col min="4" max="4" width="3" customWidth="1"/>
    <col min="5" max="5" width="88.453125" customWidth="1"/>
    <col min="256" max="256" width="2.7265625" customWidth="1"/>
    <col min="257" max="257" width="5.453125" customWidth="1"/>
    <col min="258" max="258" width="4" customWidth="1"/>
    <col min="259" max="259" width="11.453125" customWidth="1"/>
    <col min="260" max="260" width="3" customWidth="1"/>
    <col min="261" max="261" width="88.453125" customWidth="1"/>
    <col min="512" max="512" width="2.7265625" customWidth="1"/>
    <col min="513" max="513" width="5.453125" customWidth="1"/>
    <col min="514" max="514" width="4" customWidth="1"/>
    <col min="515" max="515" width="11.453125" customWidth="1"/>
    <col min="516" max="516" width="3" customWidth="1"/>
    <col min="517" max="517" width="88.453125" customWidth="1"/>
    <col min="768" max="768" width="2.7265625" customWidth="1"/>
    <col min="769" max="769" width="5.453125" customWidth="1"/>
    <col min="770" max="770" width="4" customWidth="1"/>
    <col min="771" max="771" width="11.453125" customWidth="1"/>
    <col min="772" max="772" width="3" customWidth="1"/>
    <col min="773" max="773" width="88.453125" customWidth="1"/>
    <col min="1024" max="1024" width="2.7265625" customWidth="1"/>
    <col min="1025" max="1025" width="5.453125" customWidth="1"/>
    <col min="1026" max="1026" width="4" customWidth="1"/>
    <col min="1027" max="1027" width="11.453125" customWidth="1"/>
    <col min="1028" max="1028" width="3" customWidth="1"/>
    <col min="1029" max="1029" width="88.453125" customWidth="1"/>
    <col min="1280" max="1280" width="2.7265625" customWidth="1"/>
    <col min="1281" max="1281" width="5.453125" customWidth="1"/>
    <col min="1282" max="1282" width="4" customWidth="1"/>
    <col min="1283" max="1283" width="11.453125" customWidth="1"/>
    <col min="1284" max="1284" width="3" customWidth="1"/>
    <col min="1285" max="1285" width="88.453125" customWidth="1"/>
    <col min="1536" max="1536" width="2.7265625" customWidth="1"/>
    <col min="1537" max="1537" width="5.453125" customWidth="1"/>
    <col min="1538" max="1538" width="4" customWidth="1"/>
    <col min="1539" max="1539" width="11.453125" customWidth="1"/>
    <col min="1540" max="1540" width="3" customWidth="1"/>
    <col min="1541" max="1541" width="88.453125" customWidth="1"/>
    <col min="1792" max="1792" width="2.7265625" customWidth="1"/>
    <col min="1793" max="1793" width="5.453125" customWidth="1"/>
    <col min="1794" max="1794" width="4" customWidth="1"/>
    <col min="1795" max="1795" width="11.453125" customWidth="1"/>
    <col min="1796" max="1796" width="3" customWidth="1"/>
    <col min="1797" max="1797" width="88.453125" customWidth="1"/>
    <col min="2048" max="2048" width="2.7265625" customWidth="1"/>
    <col min="2049" max="2049" width="5.453125" customWidth="1"/>
    <col min="2050" max="2050" width="4" customWidth="1"/>
    <col min="2051" max="2051" width="11.453125" customWidth="1"/>
    <col min="2052" max="2052" width="3" customWidth="1"/>
    <col min="2053" max="2053" width="88.453125" customWidth="1"/>
    <col min="2304" max="2304" width="2.7265625" customWidth="1"/>
    <col min="2305" max="2305" width="5.453125" customWidth="1"/>
    <col min="2306" max="2306" width="4" customWidth="1"/>
    <col min="2307" max="2307" width="11.453125" customWidth="1"/>
    <col min="2308" max="2308" width="3" customWidth="1"/>
    <col min="2309" max="2309" width="88.453125" customWidth="1"/>
    <col min="2560" max="2560" width="2.7265625" customWidth="1"/>
    <col min="2561" max="2561" width="5.453125" customWidth="1"/>
    <col min="2562" max="2562" width="4" customWidth="1"/>
    <col min="2563" max="2563" width="11.453125" customWidth="1"/>
    <col min="2564" max="2564" width="3" customWidth="1"/>
    <col min="2565" max="2565" width="88.453125" customWidth="1"/>
    <col min="2816" max="2816" width="2.7265625" customWidth="1"/>
    <col min="2817" max="2817" width="5.453125" customWidth="1"/>
    <col min="2818" max="2818" width="4" customWidth="1"/>
    <col min="2819" max="2819" width="11.453125" customWidth="1"/>
    <col min="2820" max="2820" width="3" customWidth="1"/>
    <col min="2821" max="2821" width="88.453125" customWidth="1"/>
    <col min="3072" max="3072" width="2.7265625" customWidth="1"/>
    <col min="3073" max="3073" width="5.453125" customWidth="1"/>
    <col min="3074" max="3074" width="4" customWidth="1"/>
    <col min="3075" max="3075" width="11.453125" customWidth="1"/>
    <col min="3076" max="3076" width="3" customWidth="1"/>
    <col min="3077" max="3077" width="88.453125" customWidth="1"/>
    <col min="3328" max="3328" width="2.7265625" customWidth="1"/>
    <col min="3329" max="3329" width="5.453125" customWidth="1"/>
    <col min="3330" max="3330" width="4" customWidth="1"/>
    <col min="3331" max="3331" width="11.453125" customWidth="1"/>
    <col min="3332" max="3332" width="3" customWidth="1"/>
    <col min="3333" max="3333" width="88.453125" customWidth="1"/>
    <col min="3584" max="3584" width="2.7265625" customWidth="1"/>
    <col min="3585" max="3585" width="5.453125" customWidth="1"/>
    <col min="3586" max="3586" width="4" customWidth="1"/>
    <col min="3587" max="3587" width="11.453125" customWidth="1"/>
    <col min="3588" max="3588" width="3" customWidth="1"/>
    <col min="3589" max="3589" width="88.453125" customWidth="1"/>
    <col min="3840" max="3840" width="2.7265625" customWidth="1"/>
    <col min="3841" max="3841" width="5.453125" customWidth="1"/>
    <col min="3842" max="3842" width="4" customWidth="1"/>
    <col min="3843" max="3843" width="11.453125" customWidth="1"/>
    <col min="3844" max="3844" width="3" customWidth="1"/>
    <col min="3845" max="3845" width="88.453125" customWidth="1"/>
    <col min="4096" max="4096" width="2.7265625" customWidth="1"/>
    <col min="4097" max="4097" width="5.453125" customWidth="1"/>
    <col min="4098" max="4098" width="4" customWidth="1"/>
    <col min="4099" max="4099" width="11.453125" customWidth="1"/>
    <col min="4100" max="4100" width="3" customWidth="1"/>
    <col min="4101" max="4101" width="88.453125" customWidth="1"/>
    <col min="4352" max="4352" width="2.7265625" customWidth="1"/>
    <col min="4353" max="4353" width="5.453125" customWidth="1"/>
    <col min="4354" max="4354" width="4" customWidth="1"/>
    <col min="4355" max="4355" width="11.453125" customWidth="1"/>
    <col min="4356" max="4356" width="3" customWidth="1"/>
    <col min="4357" max="4357" width="88.453125" customWidth="1"/>
    <col min="4608" max="4608" width="2.7265625" customWidth="1"/>
    <col min="4609" max="4609" width="5.453125" customWidth="1"/>
    <col min="4610" max="4610" width="4" customWidth="1"/>
    <col min="4611" max="4611" width="11.453125" customWidth="1"/>
    <col min="4612" max="4612" width="3" customWidth="1"/>
    <col min="4613" max="4613" width="88.453125" customWidth="1"/>
    <col min="4864" max="4864" width="2.7265625" customWidth="1"/>
    <col min="4865" max="4865" width="5.453125" customWidth="1"/>
    <col min="4866" max="4866" width="4" customWidth="1"/>
    <col min="4867" max="4867" width="11.453125" customWidth="1"/>
    <col min="4868" max="4868" width="3" customWidth="1"/>
    <col min="4869" max="4869" width="88.453125" customWidth="1"/>
    <col min="5120" max="5120" width="2.7265625" customWidth="1"/>
    <col min="5121" max="5121" width="5.453125" customWidth="1"/>
    <col min="5122" max="5122" width="4" customWidth="1"/>
    <col min="5123" max="5123" width="11.453125" customWidth="1"/>
    <col min="5124" max="5124" width="3" customWidth="1"/>
    <col min="5125" max="5125" width="88.453125" customWidth="1"/>
    <col min="5376" max="5376" width="2.7265625" customWidth="1"/>
    <col min="5377" max="5377" width="5.453125" customWidth="1"/>
    <col min="5378" max="5378" width="4" customWidth="1"/>
    <col min="5379" max="5379" width="11.453125" customWidth="1"/>
    <col min="5380" max="5380" width="3" customWidth="1"/>
    <col min="5381" max="5381" width="88.453125" customWidth="1"/>
    <col min="5632" max="5632" width="2.7265625" customWidth="1"/>
    <col min="5633" max="5633" width="5.453125" customWidth="1"/>
    <col min="5634" max="5634" width="4" customWidth="1"/>
    <col min="5635" max="5635" width="11.453125" customWidth="1"/>
    <col min="5636" max="5636" width="3" customWidth="1"/>
    <col min="5637" max="5637" width="88.453125" customWidth="1"/>
    <col min="5888" max="5888" width="2.7265625" customWidth="1"/>
    <col min="5889" max="5889" width="5.453125" customWidth="1"/>
    <col min="5890" max="5890" width="4" customWidth="1"/>
    <col min="5891" max="5891" width="11.453125" customWidth="1"/>
    <col min="5892" max="5892" width="3" customWidth="1"/>
    <col min="5893" max="5893" width="88.453125" customWidth="1"/>
    <col min="6144" max="6144" width="2.7265625" customWidth="1"/>
    <col min="6145" max="6145" width="5.453125" customWidth="1"/>
    <col min="6146" max="6146" width="4" customWidth="1"/>
    <col min="6147" max="6147" width="11.453125" customWidth="1"/>
    <col min="6148" max="6148" width="3" customWidth="1"/>
    <col min="6149" max="6149" width="88.453125" customWidth="1"/>
    <col min="6400" max="6400" width="2.7265625" customWidth="1"/>
    <col min="6401" max="6401" width="5.453125" customWidth="1"/>
    <col min="6402" max="6402" width="4" customWidth="1"/>
    <col min="6403" max="6403" width="11.453125" customWidth="1"/>
    <col min="6404" max="6404" width="3" customWidth="1"/>
    <col min="6405" max="6405" width="88.453125" customWidth="1"/>
    <col min="6656" max="6656" width="2.7265625" customWidth="1"/>
    <col min="6657" max="6657" width="5.453125" customWidth="1"/>
    <col min="6658" max="6658" width="4" customWidth="1"/>
    <col min="6659" max="6659" width="11.453125" customWidth="1"/>
    <col min="6660" max="6660" width="3" customWidth="1"/>
    <col min="6661" max="6661" width="88.453125" customWidth="1"/>
    <col min="6912" max="6912" width="2.7265625" customWidth="1"/>
    <col min="6913" max="6913" width="5.453125" customWidth="1"/>
    <col min="6914" max="6914" width="4" customWidth="1"/>
    <col min="6915" max="6915" width="11.453125" customWidth="1"/>
    <col min="6916" max="6916" width="3" customWidth="1"/>
    <col min="6917" max="6917" width="88.453125" customWidth="1"/>
    <col min="7168" max="7168" width="2.7265625" customWidth="1"/>
    <col min="7169" max="7169" width="5.453125" customWidth="1"/>
    <col min="7170" max="7170" width="4" customWidth="1"/>
    <col min="7171" max="7171" width="11.453125" customWidth="1"/>
    <col min="7172" max="7172" width="3" customWidth="1"/>
    <col min="7173" max="7173" width="88.453125" customWidth="1"/>
    <col min="7424" max="7424" width="2.7265625" customWidth="1"/>
    <col min="7425" max="7425" width="5.453125" customWidth="1"/>
    <col min="7426" max="7426" width="4" customWidth="1"/>
    <col min="7427" max="7427" width="11.453125" customWidth="1"/>
    <col min="7428" max="7428" width="3" customWidth="1"/>
    <col min="7429" max="7429" width="88.453125" customWidth="1"/>
    <col min="7680" max="7680" width="2.7265625" customWidth="1"/>
    <col min="7681" max="7681" width="5.453125" customWidth="1"/>
    <col min="7682" max="7682" width="4" customWidth="1"/>
    <col min="7683" max="7683" width="11.453125" customWidth="1"/>
    <col min="7684" max="7684" width="3" customWidth="1"/>
    <col min="7685" max="7685" width="88.453125" customWidth="1"/>
    <col min="7936" max="7936" width="2.7265625" customWidth="1"/>
    <col min="7937" max="7937" width="5.453125" customWidth="1"/>
    <col min="7938" max="7938" width="4" customWidth="1"/>
    <col min="7939" max="7939" width="11.453125" customWidth="1"/>
    <col min="7940" max="7940" width="3" customWidth="1"/>
    <col min="7941" max="7941" width="88.453125" customWidth="1"/>
    <col min="8192" max="8192" width="2.7265625" customWidth="1"/>
    <col min="8193" max="8193" width="5.453125" customWidth="1"/>
    <col min="8194" max="8194" width="4" customWidth="1"/>
    <col min="8195" max="8195" width="11.453125" customWidth="1"/>
    <col min="8196" max="8196" width="3" customWidth="1"/>
    <col min="8197" max="8197" width="88.453125" customWidth="1"/>
    <col min="8448" max="8448" width="2.7265625" customWidth="1"/>
    <col min="8449" max="8449" width="5.453125" customWidth="1"/>
    <col min="8450" max="8450" width="4" customWidth="1"/>
    <col min="8451" max="8451" width="11.453125" customWidth="1"/>
    <col min="8452" max="8452" width="3" customWidth="1"/>
    <col min="8453" max="8453" width="88.453125" customWidth="1"/>
    <col min="8704" max="8704" width="2.7265625" customWidth="1"/>
    <col min="8705" max="8705" width="5.453125" customWidth="1"/>
    <col min="8706" max="8706" width="4" customWidth="1"/>
    <col min="8707" max="8707" width="11.453125" customWidth="1"/>
    <col min="8708" max="8708" width="3" customWidth="1"/>
    <col min="8709" max="8709" width="88.453125" customWidth="1"/>
    <col min="8960" max="8960" width="2.7265625" customWidth="1"/>
    <col min="8961" max="8961" width="5.453125" customWidth="1"/>
    <col min="8962" max="8962" width="4" customWidth="1"/>
    <col min="8963" max="8963" width="11.453125" customWidth="1"/>
    <col min="8964" max="8964" width="3" customWidth="1"/>
    <col min="8965" max="8965" width="88.453125" customWidth="1"/>
    <col min="9216" max="9216" width="2.7265625" customWidth="1"/>
    <col min="9217" max="9217" width="5.453125" customWidth="1"/>
    <col min="9218" max="9218" width="4" customWidth="1"/>
    <col min="9219" max="9219" width="11.453125" customWidth="1"/>
    <col min="9220" max="9220" width="3" customWidth="1"/>
    <col min="9221" max="9221" width="88.453125" customWidth="1"/>
    <col min="9472" max="9472" width="2.7265625" customWidth="1"/>
    <col min="9473" max="9473" width="5.453125" customWidth="1"/>
    <col min="9474" max="9474" width="4" customWidth="1"/>
    <col min="9475" max="9475" width="11.453125" customWidth="1"/>
    <col min="9476" max="9476" width="3" customWidth="1"/>
    <col min="9477" max="9477" width="88.453125" customWidth="1"/>
    <col min="9728" max="9728" width="2.7265625" customWidth="1"/>
    <col min="9729" max="9729" width="5.453125" customWidth="1"/>
    <col min="9730" max="9730" width="4" customWidth="1"/>
    <col min="9731" max="9731" width="11.453125" customWidth="1"/>
    <col min="9732" max="9732" width="3" customWidth="1"/>
    <col min="9733" max="9733" width="88.453125" customWidth="1"/>
    <col min="9984" max="9984" width="2.7265625" customWidth="1"/>
    <col min="9985" max="9985" width="5.453125" customWidth="1"/>
    <col min="9986" max="9986" width="4" customWidth="1"/>
    <col min="9987" max="9987" width="11.453125" customWidth="1"/>
    <col min="9988" max="9988" width="3" customWidth="1"/>
    <col min="9989" max="9989" width="88.453125" customWidth="1"/>
    <col min="10240" max="10240" width="2.7265625" customWidth="1"/>
    <col min="10241" max="10241" width="5.453125" customWidth="1"/>
    <col min="10242" max="10242" width="4" customWidth="1"/>
    <col min="10243" max="10243" width="11.453125" customWidth="1"/>
    <col min="10244" max="10244" width="3" customWidth="1"/>
    <col min="10245" max="10245" width="88.453125" customWidth="1"/>
    <col min="10496" max="10496" width="2.7265625" customWidth="1"/>
    <col min="10497" max="10497" width="5.453125" customWidth="1"/>
    <col min="10498" max="10498" width="4" customWidth="1"/>
    <col min="10499" max="10499" width="11.453125" customWidth="1"/>
    <col min="10500" max="10500" width="3" customWidth="1"/>
    <col min="10501" max="10501" width="88.453125" customWidth="1"/>
    <col min="10752" max="10752" width="2.7265625" customWidth="1"/>
    <col min="10753" max="10753" width="5.453125" customWidth="1"/>
    <col min="10754" max="10754" width="4" customWidth="1"/>
    <col min="10755" max="10755" width="11.453125" customWidth="1"/>
    <col min="10756" max="10756" width="3" customWidth="1"/>
    <col min="10757" max="10757" width="88.453125" customWidth="1"/>
    <col min="11008" max="11008" width="2.7265625" customWidth="1"/>
    <col min="11009" max="11009" width="5.453125" customWidth="1"/>
    <col min="11010" max="11010" width="4" customWidth="1"/>
    <col min="11011" max="11011" width="11.453125" customWidth="1"/>
    <col min="11012" max="11012" width="3" customWidth="1"/>
    <col min="11013" max="11013" width="88.453125" customWidth="1"/>
    <col min="11264" max="11264" width="2.7265625" customWidth="1"/>
    <col min="11265" max="11265" width="5.453125" customWidth="1"/>
    <col min="11266" max="11266" width="4" customWidth="1"/>
    <col min="11267" max="11267" width="11.453125" customWidth="1"/>
    <col min="11268" max="11268" width="3" customWidth="1"/>
    <col min="11269" max="11269" width="88.453125" customWidth="1"/>
    <col min="11520" max="11520" width="2.7265625" customWidth="1"/>
    <col min="11521" max="11521" width="5.453125" customWidth="1"/>
    <col min="11522" max="11522" width="4" customWidth="1"/>
    <col min="11523" max="11523" width="11.453125" customWidth="1"/>
    <col min="11524" max="11524" width="3" customWidth="1"/>
    <col min="11525" max="11525" width="88.453125" customWidth="1"/>
    <col min="11776" max="11776" width="2.7265625" customWidth="1"/>
    <col min="11777" max="11777" width="5.453125" customWidth="1"/>
    <col min="11778" max="11778" width="4" customWidth="1"/>
    <col min="11779" max="11779" width="11.453125" customWidth="1"/>
    <col min="11780" max="11780" width="3" customWidth="1"/>
    <col min="11781" max="11781" width="88.453125" customWidth="1"/>
    <col min="12032" max="12032" width="2.7265625" customWidth="1"/>
    <col min="12033" max="12033" width="5.453125" customWidth="1"/>
    <col min="12034" max="12034" width="4" customWidth="1"/>
    <col min="12035" max="12035" width="11.453125" customWidth="1"/>
    <col min="12036" max="12036" width="3" customWidth="1"/>
    <col min="12037" max="12037" width="88.453125" customWidth="1"/>
    <col min="12288" max="12288" width="2.7265625" customWidth="1"/>
    <col min="12289" max="12289" width="5.453125" customWidth="1"/>
    <col min="12290" max="12290" width="4" customWidth="1"/>
    <col min="12291" max="12291" width="11.453125" customWidth="1"/>
    <col min="12292" max="12292" width="3" customWidth="1"/>
    <col min="12293" max="12293" width="88.453125" customWidth="1"/>
    <col min="12544" max="12544" width="2.7265625" customWidth="1"/>
    <col min="12545" max="12545" width="5.453125" customWidth="1"/>
    <col min="12546" max="12546" width="4" customWidth="1"/>
    <col min="12547" max="12547" width="11.453125" customWidth="1"/>
    <col min="12548" max="12548" width="3" customWidth="1"/>
    <col min="12549" max="12549" width="88.453125" customWidth="1"/>
    <col min="12800" max="12800" width="2.7265625" customWidth="1"/>
    <col min="12801" max="12801" width="5.453125" customWidth="1"/>
    <col min="12802" max="12802" width="4" customWidth="1"/>
    <col min="12803" max="12803" width="11.453125" customWidth="1"/>
    <col min="12804" max="12804" width="3" customWidth="1"/>
    <col min="12805" max="12805" width="88.453125" customWidth="1"/>
    <col min="13056" max="13056" width="2.7265625" customWidth="1"/>
    <col min="13057" max="13057" width="5.453125" customWidth="1"/>
    <col min="13058" max="13058" width="4" customWidth="1"/>
    <col min="13059" max="13059" width="11.453125" customWidth="1"/>
    <col min="13060" max="13060" width="3" customWidth="1"/>
    <col min="13061" max="13061" width="88.453125" customWidth="1"/>
    <col min="13312" max="13312" width="2.7265625" customWidth="1"/>
    <col min="13313" max="13313" width="5.453125" customWidth="1"/>
    <col min="13314" max="13314" width="4" customWidth="1"/>
    <col min="13315" max="13315" width="11.453125" customWidth="1"/>
    <col min="13316" max="13316" width="3" customWidth="1"/>
    <col min="13317" max="13317" width="88.453125" customWidth="1"/>
    <col min="13568" max="13568" width="2.7265625" customWidth="1"/>
    <col min="13569" max="13569" width="5.453125" customWidth="1"/>
    <col min="13570" max="13570" width="4" customWidth="1"/>
    <col min="13571" max="13571" width="11.453125" customWidth="1"/>
    <col min="13572" max="13572" width="3" customWidth="1"/>
    <col min="13573" max="13573" width="88.453125" customWidth="1"/>
    <col min="13824" max="13824" width="2.7265625" customWidth="1"/>
    <col min="13825" max="13825" width="5.453125" customWidth="1"/>
    <col min="13826" max="13826" width="4" customWidth="1"/>
    <col min="13827" max="13827" width="11.453125" customWidth="1"/>
    <col min="13828" max="13828" width="3" customWidth="1"/>
    <col min="13829" max="13829" width="88.453125" customWidth="1"/>
    <col min="14080" max="14080" width="2.7265625" customWidth="1"/>
    <col min="14081" max="14081" width="5.453125" customWidth="1"/>
    <col min="14082" max="14082" width="4" customWidth="1"/>
    <col min="14083" max="14083" width="11.453125" customWidth="1"/>
    <col min="14084" max="14084" width="3" customWidth="1"/>
    <col min="14085" max="14085" width="88.453125" customWidth="1"/>
    <col min="14336" max="14336" width="2.7265625" customWidth="1"/>
    <col min="14337" max="14337" width="5.453125" customWidth="1"/>
    <col min="14338" max="14338" width="4" customWidth="1"/>
    <col min="14339" max="14339" width="11.453125" customWidth="1"/>
    <col min="14340" max="14340" width="3" customWidth="1"/>
    <col min="14341" max="14341" width="88.453125" customWidth="1"/>
    <col min="14592" max="14592" width="2.7265625" customWidth="1"/>
    <col min="14593" max="14593" width="5.453125" customWidth="1"/>
    <col min="14594" max="14594" width="4" customWidth="1"/>
    <col min="14595" max="14595" width="11.453125" customWidth="1"/>
    <col min="14596" max="14596" width="3" customWidth="1"/>
    <col min="14597" max="14597" width="88.453125" customWidth="1"/>
    <col min="14848" max="14848" width="2.7265625" customWidth="1"/>
    <col min="14849" max="14849" width="5.453125" customWidth="1"/>
    <col min="14850" max="14850" width="4" customWidth="1"/>
    <col min="14851" max="14851" width="11.453125" customWidth="1"/>
    <col min="14852" max="14852" width="3" customWidth="1"/>
    <col min="14853" max="14853" width="88.453125" customWidth="1"/>
    <col min="15104" max="15104" width="2.7265625" customWidth="1"/>
    <col min="15105" max="15105" width="5.453125" customWidth="1"/>
    <col min="15106" max="15106" width="4" customWidth="1"/>
    <col min="15107" max="15107" width="11.453125" customWidth="1"/>
    <col min="15108" max="15108" width="3" customWidth="1"/>
    <col min="15109" max="15109" width="88.453125" customWidth="1"/>
    <col min="15360" max="15360" width="2.7265625" customWidth="1"/>
    <col min="15361" max="15361" width="5.453125" customWidth="1"/>
    <col min="15362" max="15362" width="4" customWidth="1"/>
    <col min="15363" max="15363" width="11.453125" customWidth="1"/>
    <col min="15364" max="15364" width="3" customWidth="1"/>
    <col min="15365" max="15365" width="88.453125" customWidth="1"/>
    <col min="15616" max="15616" width="2.7265625" customWidth="1"/>
    <col min="15617" max="15617" width="5.453125" customWidth="1"/>
    <col min="15618" max="15618" width="4" customWidth="1"/>
    <col min="15619" max="15619" width="11.453125" customWidth="1"/>
    <col min="15620" max="15620" width="3" customWidth="1"/>
    <col min="15621" max="15621" width="88.453125" customWidth="1"/>
    <col min="15872" max="15872" width="2.7265625" customWidth="1"/>
    <col min="15873" max="15873" width="5.453125" customWidth="1"/>
    <col min="15874" max="15874" width="4" customWidth="1"/>
    <col min="15875" max="15875" width="11.453125" customWidth="1"/>
    <col min="15876" max="15876" width="3" customWidth="1"/>
    <col min="15877" max="15877" width="88.453125" customWidth="1"/>
    <col min="16128" max="16128" width="2.7265625" customWidth="1"/>
    <col min="16129" max="16129" width="5.453125" customWidth="1"/>
    <col min="16130" max="16130" width="4" customWidth="1"/>
    <col min="16131" max="16131" width="11.453125" customWidth="1"/>
    <col min="16132" max="16132" width="3" customWidth="1"/>
    <col min="16133" max="16133" width="88.453125" customWidth="1"/>
  </cols>
  <sheetData>
    <row r="1" spans="2:6" ht="34.9" customHeight="1" x14ac:dyDescent="0.25">
      <c r="B1" s="77" t="s">
        <v>0</v>
      </c>
      <c r="C1" s="78" t="s">
        <v>1</v>
      </c>
      <c r="D1" s="78" t="s">
        <v>1</v>
      </c>
      <c r="E1" s="79" t="s">
        <v>1</v>
      </c>
    </row>
    <row r="2" spans="2:6" ht="34.9" customHeight="1" x14ac:dyDescent="0.25">
      <c r="B2" s="80" t="s">
        <v>2</v>
      </c>
      <c r="C2" s="81" t="s">
        <v>1</v>
      </c>
      <c r="D2" s="81" t="s">
        <v>1</v>
      </c>
      <c r="E2" s="82" t="s">
        <v>1</v>
      </c>
    </row>
    <row r="3" spans="2:6" ht="15.75" customHeight="1" x14ac:dyDescent="0.25">
      <c r="B3" s="83" t="s">
        <v>3</v>
      </c>
      <c r="C3" s="84"/>
      <c r="D3" s="84"/>
      <c r="E3" s="85"/>
      <c r="F3" s="54" t="s">
        <v>1</v>
      </c>
    </row>
    <row r="4" spans="2:6" ht="15.75" customHeight="1" x14ac:dyDescent="0.25">
      <c r="B4" s="55">
        <v>1</v>
      </c>
      <c r="C4" s="75" t="s">
        <v>4</v>
      </c>
      <c r="D4" s="75"/>
      <c r="E4" s="75"/>
      <c r="F4" s="75"/>
    </row>
    <row r="5" spans="2:6" ht="15.75" customHeight="1" x14ac:dyDescent="0.25">
      <c r="B5" s="55">
        <v>2</v>
      </c>
      <c r="C5" s="75" t="s">
        <v>5</v>
      </c>
      <c r="D5" s="75"/>
      <c r="E5" s="75"/>
      <c r="F5" s="75"/>
    </row>
    <row r="6" spans="2:6" ht="15.75" customHeight="1" x14ac:dyDescent="0.25">
      <c r="B6" s="55">
        <v>3</v>
      </c>
      <c r="C6" s="75" t="s">
        <v>6</v>
      </c>
      <c r="D6" s="75"/>
      <c r="E6" s="75"/>
      <c r="F6" s="75"/>
    </row>
    <row r="7" spans="2:6" ht="15.75" customHeight="1" x14ac:dyDescent="0.25">
      <c r="B7" s="55">
        <v>4</v>
      </c>
      <c r="C7" s="75" t="s">
        <v>7</v>
      </c>
      <c r="D7" s="75" t="s">
        <v>1</v>
      </c>
      <c r="E7" s="75" t="s">
        <v>1</v>
      </c>
      <c r="F7" s="75" t="s">
        <v>1</v>
      </c>
    </row>
    <row r="8" spans="2:6" ht="15.75" customHeight="1" x14ac:dyDescent="0.25">
      <c r="B8" s="56">
        <v>5</v>
      </c>
      <c r="C8" s="75" t="s">
        <v>8</v>
      </c>
      <c r="D8" s="75"/>
      <c r="E8" s="75"/>
      <c r="F8" s="75"/>
    </row>
    <row r="9" spans="2:6" ht="15.75" customHeight="1" x14ac:dyDescent="0.25">
      <c r="B9" s="56">
        <v>6</v>
      </c>
      <c r="C9" s="75" t="s">
        <v>9</v>
      </c>
      <c r="D9" s="75"/>
      <c r="E9" s="75"/>
      <c r="F9" s="75"/>
    </row>
    <row r="10" spans="2:6" ht="15.75" customHeight="1" x14ac:dyDescent="0.25">
      <c r="B10" s="56">
        <v>7</v>
      </c>
      <c r="C10" s="75" t="s">
        <v>10</v>
      </c>
      <c r="D10" s="75"/>
      <c r="E10" s="75"/>
      <c r="F10" s="75"/>
    </row>
    <row r="11" spans="2:6" ht="21" customHeight="1" x14ac:dyDescent="0.25">
      <c r="B11" s="56">
        <v>8</v>
      </c>
      <c r="C11" s="76" t="s">
        <v>11</v>
      </c>
      <c r="D11" s="76" t="s">
        <v>1</v>
      </c>
      <c r="E11" s="76" t="s">
        <v>1</v>
      </c>
      <c r="F11" s="76" t="s">
        <v>1</v>
      </c>
    </row>
    <row r="12" spans="2:6" ht="13" x14ac:dyDescent="0.3">
      <c r="B12" s="57" t="s">
        <v>1</v>
      </c>
      <c r="C12" s="58" t="s">
        <v>1</v>
      </c>
      <c r="D12" s="59" t="s">
        <v>1</v>
      </c>
      <c r="E12" s="55" t="s">
        <v>12</v>
      </c>
    </row>
    <row r="13" spans="2:6" ht="13" x14ac:dyDescent="0.25">
      <c r="B13" s="60" t="s">
        <v>1</v>
      </c>
      <c r="C13" s="61" t="s">
        <v>1</v>
      </c>
      <c r="D13" s="60" t="s">
        <v>1</v>
      </c>
      <c r="E13" s="55" t="s">
        <v>1</v>
      </c>
    </row>
    <row r="14" spans="2:6" ht="13" x14ac:dyDescent="0.25">
      <c r="B14" s="57"/>
      <c r="C14" s="62"/>
      <c r="D14" s="59"/>
      <c r="E14" s="55" t="s">
        <v>13</v>
      </c>
    </row>
    <row r="15" spans="2:6" ht="13" x14ac:dyDescent="0.25">
      <c r="B15" s="57"/>
      <c r="C15" s="63"/>
      <c r="D15" s="59"/>
      <c r="E15" s="55"/>
    </row>
    <row r="16" spans="2:6" ht="13" x14ac:dyDescent="0.25">
      <c r="B16" s="57" t="s">
        <v>1</v>
      </c>
      <c r="C16" s="64" t="s">
        <v>1</v>
      </c>
      <c r="D16" s="59" t="s">
        <v>1</v>
      </c>
      <c r="E16" s="55" t="s">
        <v>14</v>
      </c>
    </row>
    <row r="17" spans="2:5" ht="13" x14ac:dyDescent="0.25">
      <c r="B17" s="60" t="s">
        <v>1</v>
      </c>
      <c r="C17" s="61" t="s">
        <v>1</v>
      </c>
      <c r="D17" s="60" t="s">
        <v>1</v>
      </c>
      <c r="E17" s="60" t="s">
        <v>1</v>
      </c>
    </row>
    <row r="18" spans="2:5" x14ac:dyDescent="0.25">
      <c r="C18" s="65"/>
      <c r="E18" t="s">
        <v>15</v>
      </c>
    </row>
    <row r="20" spans="2:5" ht="13" x14ac:dyDescent="0.25">
      <c r="B20" s="57" t="s">
        <v>1</v>
      </c>
      <c r="C20" s="66" t="s">
        <v>1</v>
      </c>
      <c r="D20" s="59" t="s">
        <v>1</v>
      </c>
      <c r="E20" s="67" t="s">
        <v>16</v>
      </c>
    </row>
    <row r="21" spans="2:5" ht="13" x14ac:dyDescent="0.25">
      <c r="B21" s="60" t="s">
        <v>1</v>
      </c>
      <c r="C21" s="61" t="s">
        <v>1</v>
      </c>
      <c r="D21" s="60" t="s">
        <v>1</v>
      </c>
      <c r="E21" s="68" t="s">
        <v>1</v>
      </c>
    </row>
    <row r="22" spans="2:5" ht="13" x14ac:dyDescent="0.25">
      <c r="B22" s="57" t="s">
        <v>1</v>
      </c>
      <c r="C22" s="69" t="s">
        <v>1</v>
      </c>
      <c r="D22" s="59" t="s">
        <v>1</v>
      </c>
      <c r="E22" s="55" t="s">
        <v>17</v>
      </c>
    </row>
    <row r="23" spans="2:5" ht="13" x14ac:dyDescent="0.25">
      <c r="B23" s="60" t="s">
        <v>1</v>
      </c>
      <c r="C23" s="61" t="s">
        <v>1</v>
      </c>
      <c r="D23" s="60" t="s">
        <v>1</v>
      </c>
      <c r="E23" s="55" t="s">
        <v>1</v>
      </c>
    </row>
    <row r="26" spans="2:5" ht="14.25" customHeight="1" x14ac:dyDescent="0.25"/>
  </sheetData>
  <sheetProtection algorithmName="SHA-512" hashValue="ga9gzrzZUpAwCC6KZPuGqgogmIGdJx4hM9WN43A8kb52034bH1AF15zT8KuTcQr4XPvQqKuN8Cw4M8TGOysVXA==" saltValue="YyPABhf88S7wwUFCAqGLBg==" spinCount="100000" sheet="1" objects="1" scenarios="1" selectLockedCells="1"/>
  <mergeCells count="11">
    <mergeCell ref="C6:F6"/>
    <mergeCell ref="B1:E1"/>
    <mergeCell ref="B2:E2"/>
    <mergeCell ref="B3:E3"/>
    <mergeCell ref="C4:F4"/>
    <mergeCell ref="C5:F5"/>
    <mergeCell ref="C7:F7"/>
    <mergeCell ref="C8:F8"/>
    <mergeCell ref="C9:F9"/>
    <mergeCell ref="C10:F10"/>
    <mergeCell ref="C11:F11"/>
  </mergeCells>
  <pageMargins left="0.7" right="0.7" top="0.75" bottom="0.75"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71"/>
  <sheetViews>
    <sheetView tabSelected="1" topLeftCell="A98" zoomScaleNormal="100" workbookViewId="0">
      <selection activeCell="C98" sqref="C98"/>
    </sheetView>
  </sheetViews>
  <sheetFormatPr defaultColWidth="8.54296875" defaultRowHeight="12" customHeight="1" x14ac:dyDescent="0.25"/>
  <cols>
    <col min="1" max="1" width="7.7265625" style="5" customWidth="1"/>
    <col min="2" max="2" width="110.7265625" style="5" customWidth="1"/>
    <col min="3" max="4" width="16.7265625" style="3" customWidth="1"/>
    <col min="5" max="5" width="15.7265625" style="3" customWidth="1"/>
    <col min="6" max="6" width="15.7265625" style="4" customWidth="1"/>
    <col min="7" max="8" width="8.54296875" style="5"/>
    <col min="9" max="12" width="8.54296875" style="3"/>
    <col min="13" max="16384" width="8.54296875" style="5"/>
  </cols>
  <sheetData>
    <row r="1" spans="1:14" ht="11.5" x14ac:dyDescent="0.25">
      <c r="A1" s="1" t="s">
        <v>18</v>
      </c>
      <c r="B1" s="2" t="s">
        <v>19</v>
      </c>
      <c r="C1" s="2" t="s">
        <v>20</v>
      </c>
      <c r="D1" s="2"/>
      <c r="L1" s="4"/>
    </row>
    <row r="2" spans="1:14" ht="11.5" x14ac:dyDescent="0.25">
      <c r="A2" s="6">
        <v>1</v>
      </c>
      <c r="B2" s="7" t="s">
        <v>21</v>
      </c>
      <c r="C2" s="7"/>
      <c r="D2" s="7"/>
      <c r="G2" s="8"/>
      <c r="L2" s="4"/>
      <c r="M2" s="8"/>
      <c r="N2" s="9"/>
    </row>
    <row r="3" spans="1:14" ht="409.5" x14ac:dyDescent="0.25">
      <c r="A3" s="5">
        <v>1.1000000000000001</v>
      </c>
      <c r="B3" s="10" t="s">
        <v>22</v>
      </c>
      <c r="C3" s="11" t="s">
        <v>23</v>
      </c>
      <c r="G3" s="8"/>
      <c r="H3" s="8"/>
      <c r="L3" s="4"/>
      <c r="M3" s="8"/>
    </row>
    <row r="4" spans="1:14" ht="409.5" x14ac:dyDescent="0.25">
      <c r="A4" s="5">
        <v>1.2</v>
      </c>
      <c r="B4" s="12" t="s">
        <v>24</v>
      </c>
      <c r="C4" s="11" t="s">
        <v>25</v>
      </c>
      <c r="H4" s="8"/>
      <c r="L4" s="4"/>
      <c r="M4" s="8"/>
    </row>
    <row r="5" spans="1:14" ht="34.5" x14ac:dyDescent="0.25">
      <c r="A5" s="6">
        <v>1.3</v>
      </c>
      <c r="B5" s="7" t="s">
        <v>26</v>
      </c>
      <c r="C5" s="13" t="s">
        <v>27</v>
      </c>
      <c r="D5" s="13" t="s">
        <v>28</v>
      </c>
      <c r="E5" s="14"/>
      <c r="F5" s="14"/>
      <c r="G5" s="14"/>
      <c r="H5" s="8"/>
      <c r="I5" s="8"/>
      <c r="J5" s="15"/>
      <c r="K5" s="15"/>
      <c r="L5" s="15"/>
      <c r="M5" s="15"/>
      <c r="N5" s="16"/>
    </row>
    <row r="6" spans="1:14" ht="12.5" x14ac:dyDescent="0.25">
      <c r="A6" s="17" t="s">
        <v>29</v>
      </c>
      <c r="B6" s="18" t="s">
        <v>30</v>
      </c>
      <c r="C6" s="11" t="s">
        <v>31</v>
      </c>
      <c r="D6" s="19">
        <v>17280</v>
      </c>
      <c r="E6" s="12"/>
      <c r="F6" s="15"/>
      <c r="G6" s="15"/>
      <c r="H6" s="18"/>
      <c r="I6" s="12"/>
      <c r="J6" s="12"/>
      <c r="K6" s="12"/>
      <c r="L6" s="15"/>
      <c r="M6" s="18"/>
    </row>
    <row r="7" spans="1:14" ht="12.5" x14ac:dyDescent="0.25">
      <c r="A7" s="17" t="s">
        <v>32</v>
      </c>
      <c r="B7" s="18" t="s">
        <v>33</v>
      </c>
      <c r="C7" s="11" t="s">
        <v>31</v>
      </c>
      <c r="D7" s="19">
        <v>5576</v>
      </c>
      <c r="E7" s="12"/>
      <c r="F7" s="15"/>
      <c r="G7" s="8"/>
      <c r="H7" s="18"/>
      <c r="I7" s="12"/>
      <c r="J7" s="12"/>
      <c r="K7" s="12"/>
      <c r="L7" s="15"/>
      <c r="M7" s="18"/>
    </row>
    <row r="8" spans="1:14" ht="12.5" x14ac:dyDescent="0.25">
      <c r="A8" s="17" t="s">
        <v>34</v>
      </c>
      <c r="B8" s="18" t="s">
        <v>35</v>
      </c>
      <c r="C8" s="11" t="s">
        <v>31</v>
      </c>
      <c r="D8" s="19">
        <v>250</v>
      </c>
      <c r="E8" s="12"/>
      <c r="F8" s="15"/>
      <c r="G8" s="8"/>
      <c r="H8" s="18"/>
      <c r="I8" s="12"/>
      <c r="J8" s="12"/>
      <c r="K8" s="12"/>
      <c r="L8" s="15"/>
      <c r="M8" s="18"/>
    </row>
    <row r="9" spans="1:14" ht="12.5" x14ac:dyDescent="0.25">
      <c r="A9" s="17" t="s">
        <v>36</v>
      </c>
      <c r="B9" s="18" t="s">
        <v>37</v>
      </c>
      <c r="C9" s="11" t="s">
        <v>31</v>
      </c>
      <c r="D9" s="19">
        <v>2700</v>
      </c>
      <c r="E9" s="12"/>
      <c r="F9" s="15"/>
      <c r="G9" s="8"/>
      <c r="H9" s="18"/>
      <c r="I9" s="12"/>
      <c r="J9" s="12"/>
      <c r="K9" s="12"/>
      <c r="L9" s="15"/>
      <c r="M9" s="18"/>
    </row>
    <row r="10" spans="1:14" ht="12.5" x14ac:dyDescent="0.25">
      <c r="A10" s="17" t="s">
        <v>38</v>
      </c>
      <c r="B10" s="18" t="s">
        <v>39</v>
      </c>
      <c r="C10" s="11" t="s">
        <v>31</v>
      </c>
      <c r="D10" s="19">
        <v>150</v>
      </c>
      <c r="E10" s="12"/>
      <c r="F10" s="15"/>
      <c r="G10" s="8"/>
      <c r="H10" s="20"/>
      <c r="I10" s="12"/>
      <c r="J10" s="12"/>
      <c r="K10" s="12"/>
      <c r="L10" s="15"/>
      <c r="M10" s="18"/>
    </row>
    <row r="11" spans="1:14" ht="12.5" x14ac:dyDescent="0.25">
      <c r="A11" s="17" t="s">
        <v>40</v>
      </c>
      <c r="B11" s="18" t="s">
        <v>41</v>
      </c>
      <c r="C11" s="11" t="s">
        <v>31</v>
      </c>
      <c r="D11" s="19">
        <v>7920</v>
      </c>
      <c r="E11" s="21"/>
      <c r="F11" s="15"/>
      <c r="G11" s="8"/>
      <c r="H11" s="22"/>
      <c r="I11" s="21"/>
      <c r="J11" s="21"/>
      <c r="K11" s="21"/>
      <c r="L11" s="15"/>
      <c r="M11" s="23"/>
    </row>
    <row r="12" spans="1:14" ht="12.5" x14ac:dyDescent="0.25">
      <c r="A12" s="17" t="s">
        <v>42</v>
      </c>
      <c r="B12" s="18" t="s">
        <v>43</v>
      </c>
      <c r="C12" s="11" t="s">
        <v>31</v>
      </c>
      <c r="D12" s="19">
        <v>1584</v>
      </c>
      <c r="E12" s="21"/>
      <c r="F12" s="15"/>
      <c r="G12" s="8"/>
      <c r="H12" s="20"/>
      <c r="I12" s="21"/>
      <c r="J12" s="21"/>
      <c r="K12" s="21"/>
      <c r="L12" s="15"/>
      <c r="M12" s="23"/>
    </row>
    <row r="13" spans="1:14" ht="12.5" x14ac:dyDescent="0.25">
      <c r="A13" s="17" t="s">
        <v>44</v>
      </c>
      <c r="B13" s="18" t="s">
        <v>45</v>
      </c>
      <c r="C13" s="11" t="s">
        <v>31</v>
      </c>
      <c r="D13" s="19">
        <v>264</v>
      </c>
      <c r="E13" s="12"/>
      <c r="F13" s="15"/>
      <c r="G13" s="8"/>
      <c r="H13" s="22"/>
      <c r="I13" s="12"/>
      <c r="J13" s="12"/>
      <c r="K13" s="12"/>
      <c r="L13" s="15"/>
      <c r="M13" s="24"/>
    </row>
    <row r="14" spans="1:14" ht="12.5" x14ac:dyDescent="0.25">
      <c r="A14" s="17" t="s">
        <v>46</v>
      </c>
      <c r="B14" s="18" t="s">
        <v>47</v>
      </c>
      <c r="C14" s="11" t="s">
        <v>31</v>
      </c>
      <c r="D14" s="19">
        <v>12</v>
      </c>
      <c r="E14" s="12"/>
      <c r="F14" s="15"/>
      <c r="G14" s="8"/>
      <c r="I14" s="12"/>
      <c r="J14" s="12"/>
      <c r="K14" s="12"/>
      <c r="L14" s="15"/>
      <c r="M14" s="18"/>
    </row>
    <row r="15" spans="1:14" ht="12.5" x14ac:dyDescent="0.25">
      <c r="A15" s="17" t="s">
        <v>48</v>
      </c>
      <c r="B15" s="18" t="s">
        <v>49</v>
      </c>
      <c r="C15" s="11" t="s">
        <v>50</v>
      </c>
      <c r="D15" s="19">
        <v>0</v>
      </c>
      <c r="E15" s="12"/>
      <c r="F15" s="15"/>
      <c r="G15" s="8"/>
      <c r="H15" s="18"/>
      <c r="I15" s="12"/>
      <c r="J15" s="12"/>
      <c r="K15" s="12"/>
      <c r="L15" s="15"/>
      <c r="M15" s="18"/>
    </row>
    <row r="16" spans="1:14" ht="12.5" x14ac:dyDescent="0.25">
      <c r="A16" s="17" t="s">
        <v>51</v>
      </c>
      <c r="B16" s="18" t="s">
        <v>52</v>
      </c>
      <c r="C16" s="11" t="s">
        <v>31</v>
      </c>
      <c r="D16" s="19">
        <v>250</v>
      </c>
      <c r="E16" s="12"/>
      <c r="F16" s="15"/>
      <c r="G16" s="8"/>
      <c r="H16" s="18"/>
      <c r="I16" s="12"/>
      <c r="J16" s="12"/>
      <c r="K16" s="12"/>
      <c r="L16" s="15"/>
      <c r="M16" s="18"/>
    </row>
    <row r="17" spans="1:14" ht="12.5" x14ac:dyDescent="0.25">
      <c r="A17" s="17" t="s">
        <v>53</v>
      </c>
      <c r="B17" s="18" t="s">
        <v>54</v>
      </c>
      <c r="C17" s="11" t="s">
        <v>31</v>
      </c>
      <c r="D17" s="19">
        <v>14400</v>
      </c>
      <c r="E17" s="12"/>
      <c r="F17" s="15"/>
      <c r="G17" s="8"/>
      <c r="H17" s="18"/>
      <c r="I17" s="12"/>
      <c r="J17" s="12"/>
      <c r="K17" s="12"/>
      <c r="L17" s="15"/>
      <c r="M17" s="18"/>
    </row>
    <row r="18" spans="1:14" ht="12.5" x14ac:dyDescent="0.25">
      <c r="A18" s="17" t="s">
        <v>55</v>
      </c>
      <c r="B18" s="18" t="s">
        <v>56</v>
      </c>
      <c r="C18" s="11" t="s">
        <v>31</v>
      </c>
      <c r="D18" s="19">
        <v>1500</v>
      </c>
      <c r="E18" s="12"/>
      <c r="F18" s="15"/>
      <c r="G18" s="8"/>
      <c r="H18" s="25"/>
      <c r="I18" s="12"/>
      <c r="J18" s="12"/>
      <c r="K18" s="12"/>
      <c r="L18" s="15"/>
      <c r="M18" s="18"/>
    </row>
    <row r="19" spans="1:14" ht="12.5" x14ac:dyDescent="0.25">
      <c r="A19" s="17" t="s">
        <v>57</v>
      </c>
      <c r="B19" s="18" t="s">
        <v>58</v>
      </c>
      <c r="C19" s="11" t="s">
        <v>31</v>
      </c>
      <c r="D19" s="19">
        <v>50</v>
      </c>
      <c r="E19" s="12"/>
      <c r="F19" s="15"/>
      <c r="G19" s="8"/>
      <c r="H19" s="18"/>
      <c r="I19" s="12"/>
      <c r="J19" s="12"/>
      <c r="K19" s="12"/>
      <c r="L19" s="15"/>
      <c r="M19" s="18"/>
    </row>
    <row r="20" spans="1:14" ht="12.5" x14ac:dyDescent="0.25">
      <c r="A20" s="17" t="s">
        <v>59</v>
      </c>
      <c r="B20" s="18" t="s">
        <v>60</v>
      </c>
      <c r="C20" s="11" t="s">
        <v>31</v>
      </c>
      <c r="D20" s="19">
        <v>19800</v>
      </c>
      <c r="E20" s="12"/>
      <c r="F20" s="15"/>
      <c r="G20" s="8"/>
      <c r="H20" s="26"/>
      <c r="I20" s="12"/>
      <c r="J20" s="12"/>
      <c r="K20" s="12"/>
      <c r="L20" s="15"/>
      <c r="M20" s="18"/>
    </row>
    <row r="21" spans="1:14" ht="12.5" x14ac:dyDescent="0.25">
      <c r="A21" s="17" t="s">
        <v>61</v>
      </c>
      <c r="B21" s="18" t="s">
        <v>62</v>
      </c>
      <c r="C21" s="11" t="s">
        <v>31</v>
      </c>
      <c r="D21" s="19">
        <v>5280</v>
      </c>
      <c r="E21" s="12"/>
      <c r="F21" s="15"/>
      <c r="G21" s="8"/>
      <c r="H21" s="26"/>
      <c r="I21" s="12"/>
      <c r="J21" s="12"/>
      <c r="K21" s="12"/>
      <c r="L21" s="15"/>
      <c r="M21" s="18"/>
    </row>
    <row r="22" spans="1:14" ht="12.5" x14ac:dyDescent="0.25">
      <c r="A22" s="17" t="s">
        <v>63</v>
      </c>
      <c r="B22" s="18" t="s">
        <v>64</v>
      </c>
      <c r="C22" s="11" t="s">
        <v>31</v>
      </c>
      <c r="D22" s="19">
        <v>5010</v>
      </c>
      <c r="E22" s="12"/>
      <c r="F22" s="15"/>
      <c r="G22" s="8"/>
      <c r="H22" s="26"/>
      <c r="I22" s="12"/>
      <c r="J22" s="12"/>
      <c r="K22" s="12"/>
      <c r="L22" s="15"/>
      <c r="M22" s="18"/>
    </row>
    <row r="23" spans="1:14" ht="12.5" x14ac:dyDescent="0.25">
      <c r="A23" s="17" t="s">
        <v>65</v>
      </c>
      <c r="B23" s="18" t="s">
        <v>66</v>
      </c>
      <c r="C23" s="11" t="s">
        <v>31</v>
      </c>
      <c r="D23" s="19">
        <v>7128</v>
      </c>
      <c r="E23" s="12"/>
      <c r="F23" s="15"/>
      <c r="G23" s="8"/>
      <c r="H23" s="26"/>
      <c r="I23" s="12"/>
      <c r="J23" s="12"/>
      <c r="K23" s="12"/>
      <c r="L23" s="15"/>
      <c r="M23" s="18"/>
    </row>
    <row r="24" spans="1:14" ht="12.5" x14ac:dyDescent="0.25">
      <c r="A24" s="17" t="s">
        <v>67</v>
      </c>
      <c r="B24" s="18" t="s">
        <v>68</v>
      </c>
      <c r="C24" s="11" t="s">
        <v>31</v>
      </c>
      <c r="D24" s="19">
        <v>792</v>
      </c>
      <c r="E24" s="12"/>
      <c r="F24" s="15"/>
      <c r="G24" s="8"/>
      <c r="H24" s="27"/>
      <c r="I24" s="12"/>
      <c r="J24" s="12"/>
      <c r="K24" s="12"/>
      <c r="L24" s="15"/>
      <c r="M24" s="18"/>
    </row>
    <row r="25" spans="1:14" ht="12.5" x14ac:dyDescent="0.25">
      <c r="A25" s="17" t="s">
        <v>69</v>
      </c>
      <c r="B25" s="18" t="s">
        <v>70</v>
      </c>
      <c r="C25" s="11" t="s">
        <v>31</v>
      </c>
      <c r="D25" s="19">
        <v>4990</v>
      </c>
      <c r="E25" s="12"/>
      <c r="F25" s="15"/>
      <c r="G25" s="8"/>
      <c r="H25" s="27"/>
      <c r="I25" s="12"/>
      <c r="J25" s="12"/>
      <c r="K25" s="12"/>
      <c r="L25" s="15"/>
      <c r="M25" s="18"/>
    </row>
    <row r="26" spans="1:14" ht="12.5" x14ac:dyDescent="0.25">
      <c r="A26" s="17" t="s">
        <v>71</v>
      </c>
      <c r="B26" s="18" t="s">
        <v>72</v>
      </c>
      <c r="C26" s="11" t="s">
        <v>31</v>
      </c>
      <c r="D26" s="19">
        <v>250</v>
      </c>
      <c r="E26" s="12"/>
      <c r="F26" s="15"/>
      <c r="G26" s="8"/>
      <c r="H26" s="28"/>
      <c r="I26" s="12"/>
      <c r="J26" s="12"/>
      <c r="K26" s="12"/>
      <c r="L26" s="15"/>
      <c r="M26" s="18"/>
    </row>
    <row r="27" spans="1:14" ht="12.5" x14ac:dyDescent="0.25">
      <c r="A27" s="17" t="s">
        <v>73</v>
      </c>
      <c r="B27" s="18" t="s">
        <v>74</v>
      </c>
      <c r="C27" s="11" t="s">
        <v>31</v>
      </c>
      <c r="D27" s="19">
        <v>50</v>
      </c>
      <c r="E27" s="12"/>
      <c r="F27" s="15"/>
      <c r="G27" s="8"/>
      <c r="H27" s="28"/>
      <c r="I27" s="12"/>
      <c r="J27" s="12"/>
      <c r="K27" s="12"/>
      <c r="L27" s="15"/>
      <c r="M27" s="18"/>
    </row>
    <row r="28" spans="1:14" ht="12.5" x14ac:dyDescent="0.25">
      <c r="A28" s="17" t="s">
        <v>75</v>
      </c>
      <c r="B28" s="18" t="s">
        <v>76</v>
      </c>
      <c r="C28" s="11" t="s">
        <v>31</v>
      </c>
      <c r="D28" s="19">
        <v>12</v>
      </c>
      <c r="E28" s="12"/>
      <c r="F28" s="15"/>
      <c r="G28" s="8"/>
      <c r="H28" s="28"/>
      <c r="I28" s="12"/>
      <c r="J28" s="12"/>
      <c r="K28" s="12"/>
      <c r="L28" s="15"/>
      <c r="M28" s="18"/>
    </row>
    <row r="29" spans="1:14" ht="12.5" x14ac:dyDescent="0.25">
      <c r="A29" s="17" t="s">
        <v>77</v>
      </c>
      <c r="B29" s="18" t="s">
        <v>78</v>
      </c>
      <c r="C29" s="11" t="s">
        <v>31</v>
      </c>
      <c r="D29" s="19">
        <v>950</v>
      </c>
      <c r="E29" s="12"/>
      <c r="F29" s="15"/>
      <c r="G29" s="8"/>
      <c r="H29" s="28"/>
      <c r="I29" s="12"/>
      <c r="J29" s="12"/>
      <c r="K29" s="12"/>
      <c r="L29" s="15"/>
      <c r="M29" s="18"/>
    </row>
    <row r="30" spans="1:14" ht="12.5" x14ac:dyDescent="0.25">
      <c r="A30" s="17" t="s">
        <v>79</v>
      </c>
      <c r="B30" s="18" t="s">
        <v>80</v>
      </c>
      <c r="C30" s="11" t="s">
        <v>31</v>
      </c>
      <c r="D30" s="19">
        <v>60</v>
      </c>
      <c r="E30" s="12"/>
      <c r="F30" s="15"/>
      <c r="G30" s="8"/>
      <c r="H30" s="28"/>
      <c r="I30" s="12"/>
      <c r="J30" s="12"/>
      <c r="K30" s="12"/>
      <c r="L30" s="15"/>
      <c r="M30" s="18"/>
    </row>
    <row r="31" spans="1:14" ht="150" x14ac:dyDescent="0.25">
      <c r="A31" s="17" t="s">
        <v>81</v>
      </c>
      <c r="B31" s="18" t="s">
        <v>82</v>
      </c>
      <c r="C31" s="11" t="s">
        <v>83</v>
      </c>
      <c r="D31" s="19">
        <v>950</v>
      </c>
      <c r="E31" s="12"/>
      <c r="F31" s="15"/>
      <c r="G31" s="8"/>
      <c r="I31" s="12"/>
      <c r="J31" s="12"/>
      <c r="K31" s="12"/>
      <c r="L31" s="15"/>
      <c r="M31" s="18"/>
    </row>
    <row r="32" spans="1:14" ht="23" x14ac:dyDescent="0.25">
      <c r="A32" s="6">
        <v>1.4</v>
      </c>
      <c r="B32" s="7" t="s">
        <v>84</v>
      </c>
      <c r="C32" s="13" t="s">
        <v>85</v>
      </c>
      <c r="D32" s="13" t="s">
        <v>86</v>
      </c>
      <c r="E32" s="5"/>
      <c r="F32" s="5"/>
      <c r="G32" s="14"/>
      <c r="H32" s="8"/>
      <c r="I32" s="8"/>
      <c r="J32" s="15"/>
      <c r="K32" s="15"/>
      <c r="L32" s="15"/>
      <c r="M32" s="15"/>
      <c r="N32" s="16"/>
    </row>
    <row r="33" spans="1:13" ht="12.5" x14ac:dyDescent="0.25">
      <c r="A33" s="17" t="s">
        <v>87</v>
      </c>
      <c r="B33" s="18" t="s">
        <v>30</v>
      </c>
      <c r="C33" s="19">
        <v>20</v>
      </c>
      <c r="D33" s="19">
        <v>500</v>
      </c>
      <c r="E33" s="15"/>
      <c r="F33" s="15"/>
      <c r="G33" s="15"/>
      <c r="H33" s="18"/>
      <c r="I33" s="12"/>
      <c r="J33" s="12"/>
      <c r="K33" s="12"/>
      <c r="L33" s="15"/>
      <c r="M33" s="18"/>
    </row>
    <row r="34" spans="1:13" ht="12.5" x14ac:dyDescent="0.25">
      <c r="A34" s="17" t="s">
        <v>88</v>
      </c>
      <c r="B34" s="18" t="s">
        <v>33</v>
      </c>
      <c r="C34" s="19">
        <v>20</v>
      </c>
      <c r="D34" s="19">
        <v>500</v>
      </c>
      <c r="E34" s="15"/>
      <c r="F34" s="15"/>
      <c r="G34" s="8"/>
      <c r="H34" s="18"/>
      <c r="I34" s="12"/>
      <c r="J34" s="12"/>
      <c r="K34" s="12"/>
      <c r="L34" s="15"/>
      <c r="M34" s="18"/>
    </row>
    <row r="35" spans="1:13" ht="12.5" x14ac:dyDescent="0.25">
      <c r="A35" s="17" t="s">
        <v>89</v>
      </c>
      <c r="B35" s="18" t="s">
        <v>35</v>
      </c>
      <c r="C35" s="19">
        <v>20</v>
      </c>
      <c r="D35" s="19">
        <v>10</v>
      </c>
      <c r="E35" s="15"/>
      <c r="F35" s="15"/>
      <c r="G35" s="8"/>
      <c r="H35" s="18"/>
      <c r="I35" s="12"/>
      <c r="J35" s="12"/>
      <c r="K35" s="12"/>
      <c r="L35" s="15"/>
      <c r="M35" s="18"/>
    </row>
    <row r="36" spans="1:13" ht="12.5" x14ac:dyDescent="0.25">
      <c r="A36" s="17" t="s">
        <v>90</v>
      </c>
      <c r="B36" s="18" t="s">
        <v>37</v>
      </c>
      <c r="C36" s="19">
        <v>10</v>
      </c>
      <c r="D36" s="19">
        <v>10</v>
      </c>
      <c r="E36" s="15"/>
      <c r="F36" s="15"/>
      <c r="G36" s="8"/>
      <c r="H36" s="18"/>
      <c r="I36" s="12"/>
      <c r="J36" s="12"/>
      <c r="K36" s="12"/>
      <c r="L36" s="15"/>
      <c r="M36" s="18"/>
    </row>
    <row r="37" spans="1:13" ht="12.5" x14ac:dyDescent="0.25">
      <c r="A37" s="17" t="s">
        <v>91</v>
      </c>
      <c r="B37" s="18" t="s">
        <v>39</v>
      </c>
      <c r="C37" s="19">
        <v>10</v>
      </c>
      <c r="D37" s="19">
        <v>50</v>
      </c>
      <c r="E37" s="15"/>
      <c r="F37" s="15"/>
      <c r="G37" s="8"/>
      <c r="H37" s="20"/>
      <c r="I37" s="12"/>
      <c r="J37" s="12"/>
      <c r="K37" s="12"/>
      <c r="L37" s="15"/>
      <c r="M37" s="18"/>
    </row>
    <row r="38" spans="1:13" ht="12.5" x14ac:dyDescent="0.25">
      <c r="A38" s="17" t="s">
        <v>92</v>
      </c>
      <c r="B38" s="18" t="s">
        <v>41</v>
      </c>
      <c r="C38" s="19">
        <v>10</v>
      </c>
      <c r="D38" s="19">
        <v>50</v>
      </c>
      <c r="E38" s="15"/>
      <c r="F38" s="15"/>
      <c r="G38" s="8"/>
      <c r="H38" s="22"/>
      <c r="I38" s="21"/>
      <c r="J38" s="21"/>
      <c r="K38" s="21"/>
      <c r="L38" s="15"/>
      <c r="M38" s="23"/>
    </row>
    <row r="39" spans="1:13" ht="12.5" x14ac:dyDescent="0.25">
      <c r="A39" s="17" t="s">
        <v>93</v>
      </c>
      <c r="B39" s="18" t="s">
        <v>43</v>
      </c>
      <c r="C39" s="19">
        <v>50</v>
      </c>
      <c r="D39" s="19">
        <v>50</v>
      </c>
      <c r="E39" s="15"/>
      <c r="F39" s="15"/>
      <c r="G39" s="8"/>
      <c r="H39" s="20"/>
      <c r="I39" s="21"/>
      <c r="J39" s="21"/>
      <c r="K39" s="21"/>
      <c r="L39" s="15"/>
      <c r="M39" s="23"/>
    </row>
    <row r="40" spans="1:13" ht="12.5" x14ac:dyDescent="0.25">
      <c r="A40" s="17" t="s">
        <v>94</v>
      </c>
      <c r="B40" s="18" t="s">
        <v>45</v>
      </c>
      <c r="C40" s="19">
        <v>10</v>
      </c>
      <c r="D40" s="19">
        <v>1</v>
      </c>
      <c r="E40" s="15"/>
      <c r="F40" s="15"/>
      <c r="G40" s="8"/>
      <c r="H40" s="22"/>
      <c r="I40" s="12"/>
      <c r="J40" s="12"/>
      <c r="K40" s="12"/>
      <c r="L40" s="15"/>
      <c r="M40" s="24"/>
    </row>
    <row r="41" spans="1:13" ht="12.5" x14ac:dyDescent="0.25">
      <c r="A41" s="17" t="s">
        <v>95</v>
      </c>
      <c r="B41" s="18" t="s">
        <v>47</v>
      </c>
      <c r="C41" s="19">
        <v>10</v>
      </c>
      <c r="D41" s="19">
        <v>1</v>
      </c>
      <c r="E41" s="15"/>
      <c r="F41" s="15"/>
      <c r="G41" s="8"/>
      <c r="I41" s="12"/>
      <c r="J41" s="12"/>
      <c r="K41" s="12"/>
      <c r="L41" s="15"/>
      <c r="M41" s="18"/>
    </row>
    <row r="42" spans="1:13" ht="12.5" x14ac:dyDescent="0.25">
      <c r="A42" s="17" t="s">
        <v>96</v>
      </c>
      <c r="B42" s="18" t="s">
        <v>49</v>
      </c>
      <c r="C42" s="19">
        <v>0</v>
      </c>
      <c r="D42" s="19">
        <v>0</v>
      </c>
      <c r="E42" s="15"/>
      <c r="F42" s="15"/>
      <c r="G42" s="8"/>
      <c r="H42" s="18"/>
      <c r="I42" s="12"/>
      <c r="J42" s="12"/>
      <c r="K42" s="12"/>
      <c r="L42" s="15"/>
      <c r="M42" s="18"/>
    </row>
    <row r="43" spans="1:13" ht="12.5" x14ac:dyDescent="0.25">
      <c r="A43" s="17" t="s">
        <v>97</v>
      </c>
      <c r="B43" s="18" t="s">
        <v>52</v>
      </c>
      <c r="C43" s="19">
        <v>10</v>
      </c>
      <c r="D43" s="19">
        <v>10</v>
      </c>
      <c r="E43" s="15"/>
      <c r="F43" s="15"/>
      <c r="G43" s="8"/>
      <c r="H43" s="18"/>
      <c r="I43" s="12"/>
      <c r="J43" s="12"/>
      <c r="K43" s="12"/>
      <c r="L43" s="15"/>
      <c r="M43" s="18"/>
    </row>
    <row r="44" spans="1:13" ht="12.5" x14ac:dyDescent="0.25">
      <c r="A44" s="17" t="s">
        <v>98</v>
      </c>
      <c r="B44" s="18" t="s">
        <v>54</v>
      </c>
      <c r="C44" s="19">
        <v>10</v>
      </c>
      <c r="D44" s="19">
        <v>50</v>
      </c>
      <c r="E44" s="15"/>
      <c r="F44" s="15"/>
      <c r="G44" s="8"/>
      <c r="H44" s="18"/>
      <c r="I44" s="12"/>
      <c r="J44" s="12"/>
      <c r="K44" s="12"/>
      <c r="L44" s="15"/>
      <c r="M44" s="18"/>
    </row>
    <row r="45" spans="1:13" ht="12.5" x14ac:dyDescent="0.25">
      <c r="A45" s="17" t="s">
        <v>99</v>
      </c>
      <c r="B45" s="18" t="s">
        <v>56</v>
      </c>
      <c r="C45" s="19">
        <v>10</v>
      </c>
      <c r="D45" s="19">
        <v>20</v>
      </c>
      <c r="E45" s="15"/>
      <c r="F45" s="15"/>
      <c r="G45" s="8"/>
      <c r="H45" s="25"/>
      <c r="I45" s="12"/>
      <c r="J45" s="12"/>
      <c r="K45" s="12"/>
      <c r="L45" s="15"/>
      <c r="M45" s="18"/>
    </row>
    <row r="46" spans="1:13" ht="12.5" x14ac:dyDescent="0.25">
      <c r="A46" s="17" t="s">
        <v>100</v>
      </c>
      <c r="B46" s="18" t="s">
        <v>58</v>
      </c>
      <c r="C46" s="19">
        <v>10</v>
      </c>
      <c r="D46" s="19">
        <v>50</v>
      </c>
      <c r="E46" s="15"/>
      <c r="F46" s="15"/>
      <c r="G46" s="8"/>
      <c r="H46" s="18"/>
      <c r="I46" s="12"/>
      <c r="J46" s="12"/>
      <c r="K46" s="12"/>
      <c r="L46" s="15"/>
      <c r="M46" s="18"/>
    </row>
    <row r="47" spans="1:13" ht="12.5" x14ac:dyDescent="0.25">
      <c r="A47" s="17" t="s">
        <v>101</v>
      </c>
      <c r="B47" s="18" t="s">
        <v>60</v>
      </c>
      <c r="C47" s="19">
        <v>10</v>
      </c>
      <c r="D47" s="19">
        <v>10</v>
      </c>
      <c r="E47" s="15"/>
      <c r="F47" s="15"/>
      <c r="G47" s="8"/>
      <c r="H47" s="26"/>
      <c r="I47" s="12"/>
      <c r="J47" s="12"/>
      <c r="K47" s="12"/>
      <c r="L47" s="15"/>
      <c r="M47" s="18"/>
    </row>
    <row r="48" spans="1:13" ht="12.5" x14ac:dyDescent="0.25">
      <c r="A48" s="17" t="s">
        <v>102</v>
      </c>
      <c r="B48" s="18" t="s">
        <v>62</v>
      </c>
      <c r="C48" s="19">
        <v>10</v>
      </c>
      <c r="D48" s="19">
        <v>500</v>
      </c>
      <c r="E48" s="15"/>
      <c r="F48" s="15"/>
      <c r="G48" s="8"/>
      <c r="H48" s="26"/>
      <c r="I48" s="12"/>
      <c r="J48" s="12"/>
      <c r="K48" s="12"/>
      <c r="L48" s="15"/>
      <c r="M48" s="18"/>
    </row>
    <row r="49" spans="1:13" ht="12.5" x14ac:dyDescent="0.25">
      <c r="A49" s="17" t="s">
        <v>103</v>
      </c>
      <c r="B49" s="18" t="s">
        <v>64</v>
      </c>
      <c r="C49" s="19">
        <v>10</v>
      </c>
      <c r="D49" s="19">
        <v>500</v>
      </c>
      <c r="E49" s="15"/>
      <c r="F49" s="15"/>
      <c r="G49" s="8"/>
      <c r="H49" s="26"/>
      <c r="I49" s="12"/>
      <c r="J49" s="12"/>
      <c r="K49" s="12"/>
      <c r="L49" s="15"/>
      <c r="M49" s="18"/>
    </row>
    <row r="50" spans="1:13" ht="12.5" x14ac:dyDescent="0.25">
      <c r="A50" s="17" t="s">
        <v>104</v>
      </c>
      <c r="B50" s="18" t="s">
        <v>66</v>
      </c>
      <c r="C50" s="19">
        <v>10</v>
      </c>
      <c r="D50" s="19">
        <v>50</v>
      </c>
      <c r="E50" s="15"/>
      <c r="F50" s="15"/>
      <c r="G50" s="8"/>
      <c r="H50" s="26"/>
      <c r="I50" s="12"/>
      <c r="J50" s="12"/>
      <c r="K50" s="12"/>
      <c r="L50" s="15"/>
      <c r="M50" s="18"/>
    </row>
    <row r="51" spans="1:13" ht="12.5" x14ac:dyDescent="0.25">
      <c r="A51" s="17" t="s">
        <v>105</v>
      </c>
      <c r="B51" s="18" t="s">
        <v>68</v>
      </c>
      <c r="C51" s="19">
        <v>10</v>
      </c>
      <c r="D51" s="19">
        <v>50</v>
      </c>
      <c r="E51" s="15"/>
      <c r="F51" s="15"/>
      <c r="G51" s="8"/>
      <c r="H51" s="27"/>
      <c r="I51" s="12"/>
      <c r="J51" s="12"/>
      <c r="K51" s="12"/>
      <c r="L51" s="15"/>
      <c r="M51" s="18"/>
    </row>
    <row r="52" spans="1:13" ht="12.5" x14ac:dyDescent="0.25">
      <c r="A52" s="17" t="s">
        <v>106</v>
      </c>
      <c r="B52" s="18" t="s">
        <v>70</v>
      </c>
      <c r="C52" s="19">
        <v>10</v>
      </c>
      <c r="D52" s="19">
        <v>1</v>
      </c>
      <c r="E52" s="15"/>
      <c r="F52" s="15"/>
      <c r="G52" s="8"/>
      <c r="H52" s="27"/>
      <c r="I52" s="12"/>
      <c r="J52" s="12"/>
      <c r="K52" s="12"/>
      <c r="L52" s="15"/>
      <c r="M52" s="18"/>
    </row>
    <row r="53" spans="1:13" ht="12.5" x14ac:dyDescent="0.25">
      <c r="A53" s="17" t="s">
        <v>107</v>
      </c>
      <c r="B53" s="18" t="s">
        <v>72</v>
      </c>
      <c r="C53" s="19">
        <v>20</v>
      </c>
      <c r="D53" s="19">
        <v>10</v>
      </c>
      <c r="E53" s="15"/>
      <c r="F53" s="15"/>
      <c r="G53" s="8"/>
      <c r="H53" s="28"/>
      <c r="I53" s="12"/>
      <c r="J53" s="12"/>
      <c r="K53" s="12"/>
      <c r="L53" s="15"/>
      <c r="M53" s="18"/>
    </row>
    <row r="54" spans="1:13" ht="12.5" x14ac:dyDescent="0.25">
      <c r="A54" s="17" t="s">
        <v>108</v>
      </c>
      <c r="B54" s="18" t="s">
        <v>74</v>
      </c>
      <c r="C54" s="19">
        <v>10</v>
      </c>
      <c r="D54" s="19">
        <v>100</v>
      </c>
      <c r="E54" s="15"/>
      <c r="F54" s="15"/>
      <c r="G54" s="8"/>
      <c r="H54" s="28"/>
      <c r="I54" s="12"/>
      <c r="J54" s="12"/>
      <c r="K54" s="12"/>
      <c r="L54" s="15"/>
      <c r="M54" s="18"/>
    </row>
    <row r="55" spans="1:13" ht="12.5" x14ac:dyDescent="0.25">
      <c r="A55" s="17" t="s">
        <v>109</v>
      </c>
      <c r="B55" s="18" t="s">
        <v>76</v>
      </c>
      <c r="C55" s="19">
        <v>10</v>
      </c>
      <c r="D55" s="19">
        <v>1</v>
      </c>
      <c r="E55" s="15"/>
      <c r="F55" s="15"/>
      <c r="G55" s="8"/>
      <c r="H55" s="28"/>
      <c r="I55" s="12"/>
      <c r="J55" s="12"/>
      <c r="K55" s="12"/>
      <c r="L55" s="15"/>
      <c r="M55" s="18"/>
    </row>
    <row r="56" spans="1:13" ht="12.5" x14ac:dyDescent="0.25">
      <c r="A56" s="17" t="s">
        <v>110</v>
      </c>
      <c r="B56" s="18" t="s">
        <v>78</v>
      </c>
      <c r="C56" s="19">
        <v>10</v>
      </c>
      <c r="D56" s="19">
        <v>100</v>
      </c>
      <c r="E56" s="15"/>
      <c r="F56" s="15"/>
      <c r="G56" s="8"/>
      <c r="H56" s="28"/>
      <c r="I56" s="12"/>
      <c r="J56" s="12"/>
      <c r="K56" s="12"/>
      <c r="L56" s="15"/>
      <c r="M56" s="18"/>
    </row>
    <row r="57" spans="1:13" ht="12.5" x14ac:dyDescent="0.25">
      <c r="A57" s="17" t="s">
        <v>111</v>
      </c>
      <c r="B57" s="18" t="s">
        <v>80</v>
      </c>
      <c r="C57" s="19">
        <v>10</v>
      </c>
      <c r="D57" s="19">
        <v>1</v>
      </c>
      <c r="E57" s="15"/>
      <c r="F57" s="15"/>
      <c r="G57" s="8"/>
      <c r="H57" s="28"/>
      <c r="I57" s="12"/>
      <c r="J57" s="12"/>
      <c r="K57" s="12"/>
      <c r="L57" s="15"/>
      <c r="M57" s="18"/>
    </row>
    <row r="58" spans="1:13" ht="12.5" x14ac:dyDescent="0.25">
      <c r="A58" s="17" t="s">
        <v>112</v>
      </c>
      <c r="B58" s="18" t="s">
        <v>82</v>
      </c>
      <c r="C58" s="19">
        <v>10</v>
      </c>
      <c r="D58" s="29">
        <v>10</v>
      </c>
      <c r="E58" s="15"/>
      <c r="F58" s="15"/>
      <c r="G58" s="8"/>
      <c r="I58" s="12"/>
      <c r="J58" s="12"/>
      <c r="K58" s="12"/>
      <c r="L58" s="15"/>
      <c r="M58" s="18"/>
    </row>
    <row r="59" spans="1:13" ht="46" x14ac:dyDescent="0.25">
      <c r="A59" s="6">
        <v>1.5</v>
      </c>
      <c r="B59" s="30" t="s">
        <v>113</v>
      </c>
      <c r="C59" s="31" t="s">
        <v>114</v>
      </c>
      <c r="D59" s="32" t="s">
        <v>115</v>
      </c>
      <c r="E59" s="12"/>
      <c r="F59" s="15"/>
      <c r="I59" s="5"/>
      <c r="J59" s="12"/>
      <c r="K59" s="12"/>
      <c r="L59" s="15"/>
      <c r="M59" s="18"/>
    </row>
    <row r="60" spans="1:13" ht="34.5" x14ac:dyDescent="0.25">
      <c r="A60" s="6">
        <v>1.6</v>
      </c>
      <c r="B60" s="7" t="s">
        <v>116</v>
      </c>
      <c r="C60" s="13" t="s">
        <v>117</v>
      </c>
      <c r="D60" s="13" t="s">
        <v>118</v>
      </c>
      <c r="E60" s="4"/>
      <c r="I60" s="15"/>
      <c r="J60" s="15"/>
      <c r="K60" s="15"/>
      <c r="L60" s="15"/>
    </row>
    <row r="61" spans="1:13" ht="12.5" x14ac:dyDescent="0.25">
      <c r="A61" s="17" t="s">
        <v>119</v>
      </c>
      <c r="B61" s="33" t="s">
        <v>120</v>
      </c>
      <c r="C61" s="19">
        <v>42</v>
      </c>
      <c r="D61" s="11" t="s">
        <v>121</v>
      </c>
      <c r="E61" s="34"/>
      <c r="F61" s="34"/>
      <c r="L61" s="34"/>
    </row>
    <row r="62" spans="1:13" ht="12.5" x14ac:dyDescent="0.25">
      <c r="A62" s="17" t="s">
        <v>122</v>
      </c>
      <c r="B62" s="33" t="s">
        <v>123</v>
      </c>
      <c r="C62" s="19">
        <v>4</v>
      </c>
      <c r="D62" s="11" t="s">
        <v>124</v>
      </c>
      <c r="E62" s="35"/>
      <c r="L62" s="4"/>
    </row>
    <row r="63" spans="1:13" ht="12.5" x14ac:dyDescent="0.25">
      <c r="A63" s="17" t="s">
        <v>125</v>
      </c>
      <c r="B63" s="33" t="s">
        <v>126</v>
      </c>
      <c r="C63" s="19">
        <v>2</v>
      </c>
      <c r="D63" s="11" t="s">
        <v>127</v>
      </c>
      <c r="E63" s="35"/>
      <c r="F63" s="36"/>
      <c r="L63" s="4"/>
    </row>
    <row r="64" spans="1:13" ht="12.5" x14ac:dyDescent="0.25">
      <c r="A64" s="17" t="s">
        <v>128</v>
      </c>
      <c r="B64" s="37" t="s">
        <v>129</v>
      </c>
      <c r="C64" s="19">
        <v>13</v>
      </c>
      <c r="D64" s="11" t="s">
        <v>130</v>
      </c>
      <c r="E64" s="35"/>
      <c r="F64" s="36"/>
      <c r="L64" s="4"/>
    </row>
    <row r="65" spans="1:13" ht="12.5" x14ac:dyDescent="0.25">
      <c r="A65" s="17" t="s">
        <v>131</v>
      </c>
      <c r="B65" s="10" t="s">
        <v>132</v>
      </c>
      <c r="C65" s="19">
        <v>1</v>
      </c>
      <c r="D65" s="11" t="s">
        <v>133</v>
      </c>
      <c r="E65" s="35"/>
      <c r="L65" s="4"/>
    </row>
    <row r="66" spans="1:13" ht="12.5" x14ac:dyDescent="0.25">
      <c r="A66" s="17" t="s">
        <v>134</v>
      </c>
      <c r="B66" s="10" t="s">
        <v>135</v>
      </c>
      <c r="C66" s="19">
        <v>17</v>
      </c>
      <c r="D66" s="11" t="s">
        <v>136</v>
      </c>
      <c r="E66" s="35"/>
      <c r="L66" s="4"/>
    </row>
    <row r="67" spans="1:13" ht="12.5" x14ac:dyDescent="0.25">
      <c r="A67" s="17" t="s">
        <v>137</v>
      </c>
      <c r="B67" s="10" t="s">
        <v>138</v>
      </c>
      <c r="C67" s="19">
        <v>2</v>
      </c>
      <c r="D67" s="11" t="s">
        <v>139</v>
      </c>
      <c r="E67" s="35"/>
      <c r="L67" s="4"/>
    </row>
    <row r="68" spans="1:13" ht="12.5" x14ac:dyDescent="0.25">
      <c r="A68" s="17" t="s">
        <v>140</v>
      </c>
      <c r="B68" s="37" t="s">
        <v>141</v>
      </c>
      <c r="C68" s="19">
        <v>11</v>
      </c>
      <c r="D68" s="11" t="s">
        <v>142</v>
      </c>
      <c r="E68" s="35"/>
      <c r="L68" s="4"/>
    </row>
    <row r="69" spans="1:13" ht="12.5" x14ac:dyDescent="0.25">
      <c r="A69" s="17" t="s">
        <v>143</v>
      </c>
      <c r="B69" s="10" t="s">
        <v>144</v>
      </c>
      <c r="C69" s="19">
        <v>0</v>
      </c>
      <c r="D69" s="11"/>
      <c r="E69" s="35"/>
      <c r="I69" s="10"/>
      <c r="L69" s="4"/>
    </row>
    <row r="70" spans="1:13" ht="12.5" x14ac:dyDescent="0.25">
      <c r="A70" s="17" t="s">
        <v>145</v>
      </c>
      <c r="B70" s="10" t="s">
        <v>146</v>
      </c>
      <c r="C70" s="19">
        <v>0</v>
      </c>
      <c r="D70" s="11"/>
      <c r="E70" s="35"/>
      <c r="I70" s="10"/>
      <c r="L70" s="4"/>
    </row>
    <row r="71" spans="1:13" ht="12.5" x14ac:dyDescent="0.25">
      <c r="A71" s="17" t="s">
        <v>147</v>
      </c>
      <c r="B71" s="10" t="s">
        <v>148</v>
      </c>
      <c r="C71" s="19">
        <v>1</v>
      </c>
      <c r="D71" s="11" t="s">
        <v>133</v>
      </c>
      <c r="E71" s="35"/>
      <c r="I71" s="10"/>
      <c r="L71" s="4"/>
    </row>
    <row r="72" spans="1:13" ht="12.5" x14ac:dyDescent="0.25">
      <c r="A72" s="17" t="s">
        <v>149</v>
      </c>
      <c r="B72" s="10" t="s">
        <v>150</v>
      </c>
      <c r="C72" s="19">
        <v>0</v>
      </c>
      <c r="D72" s="11"/>
      <c r="E72" s="35"/>
      <c r="I72" s="10"/>
      <c r="L72" s="4"/>
    </row>
    <row r="73" spans="1:13" ht="12.5" x14ac:dyDescent="0.25">
      <c r="A73" s="17" t="s">
        <v>151</v>
      </c>
      <c r="B73" s="10" t="s">
        <v>152</v>
      </c>
      <c r="C73" s="19">
        <v>0</v>
      </c>
      <c r="D73" s="11"/>
      <c r="E73" s="35"/>
      <c r="I73" s="10"/>
      <c r="L73" s="4"/>
    </row>
    <row r="74" spans="1:13" ht="12.5" x14ac:dyDescent="0.25">
      <c r="A74" s="17" t="s">
        <v>153</v>
      </c>
      <c r="B74" s="10" t="s">
        <v>154</v>
      </c>
      <c r="C74" s="19">
        <v>0</v>
      </c>
      <c r="D74" s="11"/>
      <c r="E74" s="35"/>
      <c r="I74" s="10"/>
      <c r="L74" s="4"/>
    </row>
    <row r="75" spans="1:13" ht="12.5" x14ac:dyDescent="0.25">
      <c r="A75" s="17" t="s">
        <v>155</v>
      </c>
      <c r="B75" s="10" t="s">
        <v>156</v>
      </c>
      <c r="C75" s="19">
        <v>1</v>
      </c>
      <c r="D75" s="11" t="s">
        <v>133</v>
      </c>
      <c r="E75" s="35"/>
      <c r="I75" s="10"/>
      <c r="L75" s="4"/>
    </row>
    <row r="76" spans="1:13" ht="12.5" x14ac:dyDescent="0.25">
      <c r="A76" s="17" t="s">
        <v>157</v>
      </c>
      <c r="B76" s="10" t="s">
        <v>158</v>
      </c>
      <c r="C76" s="19">
        <v>4</v>
      </c>
      <c r="D76" s="11" t="s">
        <v>159</v>
      </c>
      <c r="E76" s="35"/>
      <c r="I76" s="10"/>
      <c r="L76" s="4"/>
    </row>
    <row r="77" spans="1:13" ht="12.5" x14ac:dyDescent="0.25">
      <c r="A77" s="17" t="s">
        <v>160</v>
      </c>
      <c r="B77" s="10" t="s">
        <v>161</v>
      </c>
      <c r="C77" s="19">
        <v>0</v>
      </c>
      <c r="D77" s="11"/>
      <c r="E77" s="35"/>
      <c r="I77" s="10"/>
      <c r="L77" s="4"/>
    </row>
    <row r="78" spans="1:13" ht="23" x14ac:dyDescent="0.25">
      <c r="A78" s="6">
        <v>1.7</v>
      </c>
      <c r="B78" s="7" t="s">
        <v>162</v>
      </c>
      <c r="C78" s="13" t="s">
        <v>163</v>
      </c>
      <c r="D78" s="13" t="s">
        <v>164</v>
      </c>
      <c r="E78" s="35"/>
      <c r="F78" s="15"/>
      <c r="G78" s="86"/>
      <c r="H78" s="86"/>
      <c r="J78" s="15"/>
      <c r="L78" s="15"/>
      <c r="M78" s="38"/>
    </row>
    <row r="79" spans="1:13" ht="12.5" x14ac:dyDescent="0.25">
      <c r="A79" s="17" t="s">
        <v>165</v>
      </c>
      <c r="B79" s="12" t="s">
        <v>166</v>
      </c>
      <c r="C79" s="11" t="s">
        <v>31</v>
      </c>
      <c r="D79" s="19">
        <v>1353</v>
      </c>
      <c r="E79" s="35"/>
      <c r="I79" s="10"/>
      <c r="L79" s="4"/>
    </row>
    <row r="80" spans="1:13" ht="12.5" x14ac:dyDescent="0.25">
      <c r="A80" s="17" t="s">
        <v>167</v>
      </c>
      <c r="B80" s="12" t="s">
        <v>168</v>
      </c>
      <c r="C80" s="11" t="s">
        <v>31</v>
      </c>
      <c r="D80" s="19">
        <v>521</v>
      </c>
      <c r="E80" s="35"/>
      <c r="I80" s="10"/>
      <c r="L80" s="4"/>
    </row>
    <row r="81" spans="1:12" ht="12.5" x14ac:dyDescent="0.25">
      <c r="A81" s="17" t="s">
        <v>169</v>
      </c>
      <c r="B81" s="12" t="s">
        <v>170</v>
      </c>
      <c r="C81" s="11" t="s">
        <v>31</v>
      </c>
      <c r="D81" s="19">
        <v>2097</v>
      </c>
      <c r="E81" s="35"/>
      <c r="I81" s="10"/>
      <c r="L81" s="4"/>
    </row>
    <row r="82" spans="1:12" ht="12.5" x14ac:dyDescent="0.25">
      <c r="A82" s="17" t="s">
        <v>171</v>
      </c>
      <c r="B82" s="12" t="s">
        <v>172</v>
      </c>
      <c r="C82" s="11" t="s">
        <v>31</v>
      </c>
      <c r="D82" s="19">
        <v>0</v>
      </c>
      <c r="E82" s="35"/>
      <c r="I82" s="10"/>
      <c r="L82" s="4"/>
    </row>
    <row r="83" spans="1:12" ht="12.5" x14ac:dyDescent="0.25">
      <c r="A83" s="17" t="s">
        <v>173</v>
      </c>
      <c r="B83" s="12" t="s">
        <v>174</v>
      </c>
      <c r="C83" s="11" t="s">
        <v>31</v>
      </c>
      <c r="D83" s="19">
        <v>102</v>
      </c>
      <c r="E83" s="35"/>
      <c r="I83" s="10"/>
      <c r="L83" s="4"/>
    </row>
    <row r="84" spans="1:12" ht="12.5" x14ac:dyDescent="0.25">
      <c r="A84" s="17" t="s">
        <v>175</v>
      </c>
      <c r="B84" s="12" t="s">
        <v>176</v>
      </c>
      <c r="C84" s="11" t="s">
        <v>31</v>
      </c>
      <c r="D84" s="19">
        <v>0</v>
      </c>
      <c r="E84" s="35"/>
      <c r="I84" s="10"/>
      <c r="L84" s="4"/>
    </row>
    <row r="85" spans="1:12" ht="12.5" x14ac:dyDescent="0.25">
      <c r="A85" s="17" t="s">
        <v>177</v>
      </c>
      <c r="B85" s="12" t="s">
        <v>178</v>
      </c>
      <c r="C85" s="11" t="s">
        <v>31</v>
      </c>
      <c r="D85" s="19">
        <v>0</v>
      </c>
      <c r="E85" s="35"/>
      <c r="I85" s="10"/>
      <c r="L85" s="4"/>
    </row>
    <row r="86" spans="1:12" ht="162.5" x14ac:dyDescent="0.25">
      <c r="A86" s="17" t="s">
        <v>179</v>
      </c>
      <c r="B86" s="3" t="s">
        <v>180</v>
      </c>
      <c r="C86" s="11" t="s">
        <v>181</v>
      </c>
      <c r="D86" s="7"/>
      <c r="E86" s="35"/>
      <c r="I86" s="10"/>
      <c r="L86" s="4"/>
    </row>
    <row r="87" spans="1:12" ht="46" x14ac:dyDescent="0.25">
      <c r="A87" s="39">
        <v>1.8</v>
      </c>
      <c r="B87" s="30" t="s">
        <v>113</v>
      </c>
      <c r="C87" s="11" t="s">
        <v>114</v>
      </c>
      <c r="D87" s="32" t="s">
        <v>182</v>
      </c>
      <c r="E87" s="35"/>
      <c r="I87" s="10"/>
      <c r="L87" s="4"/>
    </row>
    <row r="88" spans="1:12" ht="11.5" x14ac:dyDescent="0.25">
      <c r="A88" s="39">
        <v>2</v>
      </c>
      <c r="B88" s="7" t="s">
        <v>183</v>
      </c>
      <c r="C88" s="7"/>
      <c r="D88" s="7"/>
      <c r="E88" s="35"/>
      <c r="G88" s="8"/>
      <c r="L88" s="4"/>
    </row>
    <row r="89" spans="1:12" ht="12.5" x14ac:dyDescent="0.25">
      <c r="A89" s="5">
        <v>2.1</v>
      </c>
      <c r="B89" s="10" t="s">
        <v>184</v>
      </c>
      <c r="C89" s="11" t="s">
        <v>31</v>
      </c>
      <c r="E89" s="35"/>
      <c r="L89" s="4"/>
    </row>
    <row r="90" spans="1:12" ht="11.5" x14ac:dyDescent="0.25">
      <c r="A90" s="5">
        <v>2.2000000000000002</v>
      </c>
      <c r="B90" s="40" t="s">
        <v>185</v>
      </c>
      <c r="C90" s="41" t="s">
        <v>186</v>
      </c>
      <c r="D90" s="41" t="s">
        <v>187</v>
      </c>
      <c r="E90" s="35"/>
      <c r="L90" s="4"/>
    </row>
    <row r="91" spans="1:12" ht="12.5" x14ac:dyDescent="0.25">
      <c r="A91" s="5">
        <v>2.2999999999999998</v>
      </c>
      <c r="B91" s="10" t="s">
        <v>188</v>
      </c>
      <c r="C91" s="19">
        <v>42</v>
      </c>
      <c r="D91" s="11" t="s">
        <v>189</v>
      </c>
      <c r="E91" s="35"/>
      <c r="L91" s="4"/>
    </row>
    <row r="92" spans="1:12" ht="12.5" x14ac:dyDescent="0.25">
      <c r="A92" s="5">
        <v>2.4</v>
      </c>
      <c r="B92" s="10" t="s">
        <v>190</v>
      </c>
      <c r="C92" s="19">
        <v>28</v>
      </c>
      <c r="D92" s="11" t="s">
        <v>189</v>
      </c>
      <c r="E92" s="35"/>
      <c r="L92" s="4"/>
    </row>
    <row r="93" spans="1:12" ht="11.5" x14ac:dyDescent="0.25">
      <c r="A93" s="39">
        <v>3</v>
      </c>
      <c r="B93" s="7" t="s">
        <v>191</v>
      </c>
      <c r="C93" s="7"/>
      <c r="D93" s="7"/>
      <c r="E93" s="35"/>
      <c r="G93" s="8"/>
      <c r="L93" s="4"/>
    </row>
    <row r="94" spans="1:12" ht="12.5" x14ac:dyDescent="0.25">
      <c r="A94" s="5">
        <v>3.1</v>
      </c>
      <c r="B94" s="33" t="s">
        <v>192</v>
      </c>
      <c r="C94" s="19">
        <v>300</v>
      </c>
      <c r="E94" s="35"/>
      <c r="L94" s="4"/>
    </row>
    <row r="95" spans="1:12" ht="12.5" x14ac:dyDescent="0.25">
      <c r="A95" s="5">
        <v>3.2</v>
      </c>
      <c r="B95" s="33" t="s">
        <v>193</v>
      </c>
      <c r="C95" s="19">
        <v>40</v>
      </c>
      <c r="E95" s="35"/>
      <c r="L95" s="4"/>
    </row>
    <row r="96" spans="1:12" ht="12.5" x14ac:dyDescent="0.25">
      <c r="A96" s="5">
        <v>3.3</v>
      </c>
      <c r="B96" s="33" t="s">
        <v>194</v>
      </c>
      <c r="C96" s="19">
        <v>264</v>
      </c>
      <c r="E96" s="35"/>
      <c r="L96" s="4"/>
    </row>
    <row r="97" spans="1:12" ht="12.5" x14ac:dyDescent="0.25">
      <c r="A97" s="5">
        <v>3.4</v>
      </c>
      <c r="B97" s="33" t="s">
        <v>195</v>
      </c>
      <c r="C97" s="11" t="s">
        <v>121</v>
      </c>
      <c r="E97" s="35"/>
      <c r="L97" s="4"/>
    </row>
    <row r="98" spans="1:12" ht="409.5" x14ac:dyDescent="0.25">
      <c r="A98" s="5">
        <v>3.5</v>
      </c>
      <c r="B98" s="42" t="s">
        <v>196</v>
      </c>
      <c r="C98" s="11" t="s">
        <v>197</v>
      </c>
      <c r="E98" s="35"/>
      <c r="L98" s="4"/>
    </row>
    <row r="99" spans="1:12" ht="409.5" x14ac:dyDescent="0.25">
      <c r="A99" s="5">
        <v>3.6</v>
      </c>
      <c r="B99" s="42" t="s">
        <v>198</v>
      </c>
      <c r="C99" s="11" t="s">
        <v>199</v>
      </c>
      <c r="E99" s="35"/>
      <c r="L99" s="4"/>
    </row>
    <row r="100" spans="1:12" x14ac:dyDescent="0.25">
      <c r="A100" s="5">
        <v>3.7</v>
      </c>
      <c r="B100" s="10" t="s">
        <v>200</v>
      </c>
      <c r="C100" s="7"/>
      <c r="E100" s="35"/>
      <c r="L100" s="4"/>
    </row>
    <row r="101" spans="1:12" ht="12.5" x14ac:dyDescent="0.25">
      <c r="A101" s="17" t="s">
        <v>201</v>
      </c>
      <c r="B101" s="10">
        <v>2020</v>
      </c>
      <c r="C101" s="19">
        <v>8</v>
      </c>
      <c r="E101" s="35"/>
      <c r="L101" s="4"/>
    </row>
    <row r="102" spans="1:12" ht="12.5" x14ac:dyDescent="0.25">
      <c r="A102" s="17" t="s">
        <v>202</v>
      </c>
      <c r="B102" s="10">
        <v>2021</v>
      </c>
      <c r="C102" s="19">
        <v>20</v>
      </c>
      <c r="E102" s="35"/>
      <c r="L102" s="4"/>
    </row>
    <row r="103" spans="1:12" ht="12.5" x14ac:dyDescent="0.25">
      <c r="A103" s="17" t="s">
        <v>203</v>
      </c>
      <c r="B103" s="10">
        <v>2022</v>
      </c>
      <c r="C103" s="19">
        <v>22</v>
      </c>
      <c r="E103" s="35"/>
      <c r="L103" s="4"/>
    </row>
    <row r="104" spans="1:12" ht="12.5" x14ac:dyDescent="0.25">
      <c r="A104" s="5">
        <v>3.8</v>
      </c>
      <c r="B104" s="33" t="s">
        <v>204</v>
      </c>
      <c r="C104" s="19">
        <v>6</v>
      </c>
      <c r="E104" s="35"/>
      <c r="L104" s="4"/>
    </row>
    <row r="105" spans="1:12" ht="12.5" x14ac:dyDescent="0.25">
      <c r="A105" s="5">
        <v>3.9</v>
      </c>
      <c r="B105" s="33" t="s">
        <v>205</v>
      </c>
      <c r="C105" s="11" t="s">
        <v>31</v>
      </c>
      <c r="E105" s="35"/>
      <c r="L105" s="4"/>
    </row>
    <row r="106" spans="1:12" ht="11.5" x14ac:dyDescent="0.25">
      <c r="A106" s="39">
        <v>4</v>
      </c>
      <c r="B106" s="7" t="s">
        <v>206</v>
      </c>
      <c r="C106" s="7"/>
      <c r="D106" s="7"/>
      <c r="E106" s="35"/>
      <c r="G106" s="8"/>
      <c r="L106" s="4"/>
    </row>
    <row r="107" spans="1:12" ht="409.5" x14ac:dyDescent="0.25">
      <c r="A107" s="5">
        <v>4.0999999999999996</v>
      </c>
      <c r="B107" s="10" t="s">
        <v>207</v>
      </c>
      <c r="C107" s="11" t="s">
        <v>208</v>
      </c>
      <c r="E107" s="35"/>
      <c r="L107" s="4"/>
    </row>
    <row r="108" spans="1:12" ht="112.5" x14ac:dyDescent="0.25">
      <c r="A108" s="5">
        <v>4.2</v>
      </c>
      <c r="B108" s="10" t="s">
        <v>209</v>
      </c>
      <c r="C108" s="11" t="s">
        <v>210</v>
      </c>
      <c r="E108" s="35"/>
      <c r="L108" s="4"/>
    </row>
    <row r="109" spans="1:12" ht="212.5" x14ac:dyDescent="0.25">
      <c r="A109" s="5">
        <v>4.3</v>
      </c>
      <c r="B109" s="10" t="s">
        <v>211</v>
      </c>
      <c r="C109" s="11" t="s">
        <v>212</v>
      </c>
      <c r="E109" s="35"/>
      <c r="L109" s="4"/>
    </row>
    <row r="110" spans="1:12" ht="11.5" x14ac:dyDescent="0.25">
      <c r="A110" s="39">
        <v>5</v>
      </c>
      <c r="B110" s="7" t="s">
        <v>213</v>
      </c>
      <c r="C110" s="7"/>
      <c r="D110" s="7"/>
      <c r="G110" s="8"/>
      <c r="L110" s="4"/>
    </row>
    <row r="111" spans="1:12" s="44" customFormat="1" ht="409.5" x14ac:dyDescent="0.25">
      <c r="A111" s="43">
        <v>5.0999999999999996</v>
      </c>
      <c r="B111" s="12" t="s">
        <v>214</v>
      </c>
      <c r="C111" s="11" t="s">
        <v>215</v>
      </c>
      <c r="D111" s="3"/>
      <c r="E111" s="3"/>
      <c r="F111" s="4"/>
      <c r="I111" s="3"/>
      <c r="J111" s="3"/>
      <c r="K111" s="3"/>
      <c r="L111" s="4"/>
    </row>
    <row r="112" spans="1:12" ht="11.5" x14ac:dyDescent="0.25">
      <c r="A112" s="39">
        <v>6</v>
      </c>
      <c r="B112" s="7" t="s">
        <v>216</v>
      </c>
      <c r="C112" s="7"/>
      <c r="D112" s="7"/>
      <c r="G112" s="8"/>
      <c r="L112" s="4"/>
    </row>
    <row r="113" spans="1:12" ht="12.5" x14ac:dyDescent="0.25">
      <c r="A113" s="5">
        <v>6.1</v>
      </c>
      <c r="B113" s="10" t="s">
        <v>217</v>
      </c>
      <c r="C113" s="19">
        <v>3</v>
      </c>
      <c r="L113" s="4"/>
    </row>
    <row r="114" spans="1:12" ht="12.5" x14ac:dyDescent="0.25">
      <c r="A114" s="5">
        <v>6.2</v>
      </c>
      <c r="B114" s="10" t="s">
        <v>218</v>
      </c>
      <c r="C114" s="19">
        <v>6</v>
      </c>
      <c r="L114" s="4"/>
    </row>
    <row r="115" spans="1:12" ht="12.5" x14ac:dyDescent="0.25">
      <c r="A115" s="5">
        <v>6.3</v>
      </c>
      <c r="B115" s="10" t="s">
        <v>219</v>
      </c>
      <c r="C115" s="19">
        <v>54</v>
      </c>
      <c r="L115" s="4"/>
    </row>
    <row r="116" spans="1:12" ht="12.5" x14ac:dyDescent="0.25">
      <c r="A116" s="5">
        <v>6.4</v>
      </c>
      <c r="B116" s="10" t="s">
        <v>220</v>
      </c>
      <c r="C116" s="19">
        <v>35</v>
      </c>
      <c r="L116" s="4"/>
    </row>
    <row r="117" spans="1:12" ht="12.5" x14ac:dyDescent="0.25">
      <c r="A117" s="5">
        <v>6.5</v>
      </c>
      <c r="B117" s="10" t="s">
        <v>221</v>
      </c>
      <c r="C117" s="19">
        <v>1</v>
      </c>
      <c r="L117" s="4"/>
    </row>
    <row r="118" spans="1:12" ht="12.5" x14ac:dyDescent="0.25">
      <c r="A118" s="5">
        <v>6.6</v>
      </c>
      <c r="B118" s="10" t="s">
        <v>222</v>
      </c>
      <c r="C118" s="19">
        <v>10</v>
      </c>
      <c r="L118" s="4"/>
    </row>
    <row r="119" spans="1:12" ht="12.5" x14ac:dyDescent="0.25">
      <c r="A119" s="5">
        <v>6.7</v>
      </c>
      <c r="B119" s="10" t="s">
        <v>223</v>
      </c>
      <c r="C119" s="11" t="s">
        <v>224</v>
      </c>
      <c r="L119" s="4"/>
    </row>
    <row r="120" spans="1:12" ht="11.5" x14ac:dyDescent="0.25">
      <c r="A120" s="39">
        <v>7</v>
      </c>
      <c r="B120" s="7" t="s">
        <v>225</v>
      </c>
      <c r="C120" s="7"/>
      <c r="D120" s="7"/>
      <c r="G120" s="8"/>
      <c r="L120" s="4"/>
    </row>
    <row r="121" spans="1:12" ht="25" x14ac:dyDescent="0.25">
      <c r="A121" s="5">
        <v>7.1</v>
      </c>
      <c r="B121" s="33" t="s">
        <v>226</v>
      </c>
      <c r="C121" s="11" t="s">
        <v>227</v>
      </c>
      <c r="L121" s="4"/>
    </row>
    <row r="122" spans="1:12" ht="25" x14ac:dyDescent="0.25">
      <c r="A122" s="5">
        <v>7.2</v>
      </c>
      <c r="B122" s="33" t="s">
        <v>228</v>
      </c>
      <c r="C122" s="11" t="s">
        <v>229</v>
      </c>
      <c r="L122" s="4"/>
    </row>
    <row r="123" spans="1:12" ht="11.5" x14ac:dyDescent="0.25">
      <c r="A123" s="5">
        <v>7.3</v>
      </c>
      <c r="B123" s="33" t="s">
        <v>230</v>
      </c>
      <c r="C123" s="7"/>
      <c r="L123" s="4"/>
    </row>
    <row r="124" spans="1:12" ht="12.5" x14ac:dyDescent="0.25">
      <c r="A124" s="17" t="s">
        <v>231</v>
      </c>
      <c r="B124" s="33" t="s">
        <v>232</v>
      </c>
      <c r="C124" s="19">
        <v>90</v>
      </c>
      <c r="L124" s="4"/>
    </row>
    <row r="125" spans="1:12" ht="12.5" x14ac:dyDescent="0.25">
      <c r="A125" s="17" t="s">
        <v>233</v>
      </c>
      <c r="B125" s="33" t="s">
        <v>234</v>
      </c>
      <c r="C125" s="19">
        <v>10</v>
      </c>
      <c r="L125" s="4"/>
    </row>
    <row r="126" spans="1:12" ht="12.5" x14ac:dyDescent="0.25">
      <c r="A126" s="17" t="s">
        <v>235</v>
      </c>
      <c r="B126" s="33" t="s">
        <v>236</v>
      </c>
      <c r="C126" s="19">
        <v>5</v>
      </c>
      <c r="L126" s="4"/>
    </row>
    <row r="127" spans="1:12" ht="11.5" x14ac:dyDescent="0.25">
      <c r="A127" s="17">
        <v>7.4</v>
      </c>
      <c r="B127" s="33" t="s">
        <v>237</v>
      </c>
      <c r="C127" s="7"/>
      <c r="L127" s="4"/>
    </row>
    <row r="128" spans="1:12" ht="12.5" x14ac:dyDescent="0.25">
      <c r="A128" s="17" t="s">
        <v>238</v>
      </c>
      <c r="B128" s="33" t="s">
        <v>232</v>
      </c>
      <c r="C128" s="19">
        <v>2</v>
      </c>
      <c r="L128" s="4"/>
    </row>
    <row r="129" spans="1:12" ht="12.5" x14ac:dyDescent="0.25">
      <c r="A129" s="17" t="s">
        <v>239</v>
      </c>
      <c r="B129" s="33" t="s">
        <v>234</v>
      </c>
      <c r="C129" s="19">
        <v>5</v>
      </c>
      <c r="L129" s="4"/>
    </row>
    <row r="130" spans="1:12" ht="12.5" x14ac:dyDescent="0.25">
      <c r="A130" s="17" t="s">
        <v>240</v>
      </c>
      <c r="B130" s="33" t="s">
        <v>236</v>
      </c>
      <c r="C130" s="19">
        <v>10</v>
      </c>
      <c r="L130" s="4"/>
    </row>
    <row r="131" spans="1:12" ht="12.5" x14ac:dyDescent="0.25">
      <c r="A131" s="17">
        <v>7.5</v>
      </c>
      <c r="B131" s="33" t="s">
        <v>241</v>
      </c>
      <c r="C131" s="11" t="s">
        <v>242</v>
      </c>
      <c r="L131" s="4"/>
    </row>
    <row r="132" spans="1:12" ht="12.5" x14ac:dyDescent="0.25">
      <c r="A132" s="17">
        <v>7.6</v>
      </c>
      <c r="B132" s="33" t="s">
        <v>243</v>
      </c>
      <c r="C132" s="11" t="s">
        <v>244</v>
      </c>
      <c r="L132" s="4"/>
    </row>
    <row r="133" spans="1:12" ht="11.5" x14ac:dyDescent="0.25">
      <c r="A133" s="17">
        <v>7.7</v>
      </c>
      <c r="B133" s="33" t="s">
        <v>245</v>
      </c>
      <c r="C133" s="7"/>
      <c r="L133" s="4"/>
    </row>
    <row r="134" spans="1:12" ht="12.5" x14ac:dyDescent="0.25">
      <c r="A134" s="17" t="s">
        <v>246</v>
      </c>
      <c r="B134" s="33" t="s">
        <v>232</v>
      </c>
      <c r="C134" s="19">
        <v>310</v>
      </c>
      <c r="L134" s="4"/>
    </row>
    <row r="135" spans="1:12" ht="12.5" x14ac:dyDescent="0.25">
      <c r="A135" s="17" t="s">
        <v>247</v>
      </c>
      <c r="B135" s="33" t="s">
        <v>234</v>
      </c>
      <c r="C135" s="19">
        <v>30</v>
      </c>
      <c r="L135" s="4"/>
    </row>
    <row r="136" spans="1:12" ht="12.5" x14ac:dyDescent="0.25">
      <c r="A136" s="17" t="s">
        <v>248</v>
      </c>
      <c r="B136" s="33" t="s">
        <v>236</v>
      </c>
      <c r="C136" s="19">
        <v>15</v>
      </c>
      <c r="L136" s="4"/>
    </row>
    <row r="137" spans="1:12" ht="11.5" x14ac:dyDescent="0.25">
      <c r="A137" s="17">
        <v>7.8</v>
      </c>
      <c r="B137" s="33" t="s">
        <v>249</v>
      </c>
      <c r="C137" s="7"/>
      <c r="L137" s="4"/>
    </row>
    <row r="138" spans="1:12" ht="12.5" x14ac:dyDescent="0.25">
      <c r="A138" s="17" t="s">
        <v>250</v>
      </c>
      <c r="B138" s="33" t="s">
        <v>232</v>
      </c>
      <c r="C138" s="19">
        <v>1</v>
      </c>
      <c r="L138" s="4"/>
    </row>
    <row r="139" spans="1:12" ht="12.5" x14ac:dyDescent="0.25">
      <c r="A139" s="17" t="s">
        <v>251</v>
      </c>
      <c r="B139" s="33" t="s">
        <v>234</v>
      </c>
      <c r="C139" s="19">
        <v>5</v>
      </c>
      <c r="L139" s="4"/>
    </row>
    <row r="140" spans="1:12" ht="12.5" x14ac:dyDescent="0.25">
      <c r="A140" s="17" t="s">
        <v>252</v>
      </c>
      <c r="B140" s="33" t="s">
        <v>236</v>
      </c>
      <c r="C140" s="19">
        <v>10</v>
      </c>
      <c r="L140" s="4"/>
    </row>
    <row r="141" spans="1:12" ht="112.5" x14ac:dyDescent="0.25">
      <c r="A141" s="17">
        <v>7.9</v>
      </c>
      <c r="B141" s="33" t="s">
        <v>253</v>
      </c>
      <c r="C141" s="11" t="s">
        <v>254</v>
      </c>
      <c r="L141" s="4"/>
    </row>
    <row r="142" spans="1:12" ht="12.5" x14ac:dyDescent="0.25">
      <c r="A142" s="45">
        <v>7.1</v>
      </c>
      <c r="B142" s="33" t="s">
        <v>255</v>
      </c>
      <c r="C142" s="11" t="s">
        <v>31</v>
      </c>
      <c r="L142" s="4"/>
    </row>
    <row r="143" spans="1:12" ht="75" x14ac:dyDescent="0.25">
      <c r="A143" s="17">
        <v>7.11</v>
      </c>
      <c r="B143" s="33" t="s">
        <v>256</v>
      </c>
      <c r="C143" s="11" t="s">
        <v>257</v>
      </c>
      <c r="L143" s="4"/>
    </row>
    <row r="144" spans="1:12" ht="46" x14ac:dyDescent="0.25">
      <c r="A144" s="46">
        <v>7.12</v>
      </c>
      <c r="B144" s="47" t="s">
        <v>113</v>
      </c>
      <c r="C144" s="11" t="s">
        <v>258</v>
      </c>
      <c r="D144" s="32" t="s">
        <v>259</v>
      </c>
      <c r="E144" s="35"/>
      <c r="I144" s="10"/>
      <c r="L144" s="4"/>
    </row>
    <row r="145" spans="1:12" ht="11.5" x14ac:dyDescent="0.25">
      <c r="A145" s="39">
        <v>8</v>
      </c>
      <c r="B145" s="7" t="s">
        <v>260</v>
      </c>
      <c r="C145" s="7"/>
      <c r="D145" s="7"/>
      <c r="E145" s="48"/>
      <c r="G145" s="8"/>
      <c r="J145" s="48"/>
      <c r="K145" s="48"/>
      <c r="L145" s="4"/>
    </row>
    <row r="146" spans="1:12" ht="46" x14ac:dyDescent="0.25">
      <c r="A146" s="17">
        <v>8.1</v>
      </c>
      <c r="B146" s="47" t="s">
        <v>261</v>
      </c>
      <c r="C146" s="13" t="s">
        <v>262</v>
      </c>
      <c r="D146" s="13" t="s">
        <v>263</v>
      </c>
      <c r="E146" s="15"/>
      <c r="F146" s="15"/>
      <c r="I146" s="15"/>
      <c r="J146" s="15"/>
      <c r="K146" s="15"/>
      <c r="L146" s="15"/>
    </row>
    <row r="147" spans="1:12" ht="12.5" x14ac:dyDescent="0.25">
      <c r="A147" s="17" t="s">
        <v>264</v>
      </c>
      <c r="B147" s="49" t="s">
        <v>265</v>
      </c>
      <c r="C147" s="11" t="s">
        <v>31</v>
      </c>
      <c r="D147" s="19">
        <v>300</v>
      </c>
      <c r="E147" s="15"/>
      <c r="F147" s="15"/>
      <c r="I147" s="48"/>
      <c r="J147" s="48"/>
      <c r="K147" s="48"/>
      <c r="L147" s="15"/>
    </row>
    <row r="148" spans="1:12" ht="12.5" x14ac:dyDescent="0.25">
      <c r="A148" s="17" t="s">
        <v>266</v>
      </c>
      <c r="B148" s="49" t="s">
        <v>267</v>
      </c>
      <c r="C148" s="11" t="s">
        <v>31</v>
      </c>
      <c r="D148" s="19">
        <v>250</v>
      </c>
      <c r="E148" s="15"/>
      <c r="F148" s="15"/>
      <c r="I148" s="48"/>
      <c r="J148" s="48"/>
      <c r="K148" s="48"/>
      <c r="L148" s="15"/>
    </row>
    <row r="149" spans="1:12" ht="12.5" x14ac:dyDescent="0.25">
      <c r="A149" s="17" t="s">
        <v>268</v>
      </c>
      <c r="B149" s="49" t="s">
        <v>269</v>
      </c>
      <c r="C149" s="11" t="s">
        <v>50</v>
      </c>
      <c r="D149" s="19">
        <v>0</v>
      </c>
      <c r="E149" s="15"/>
      <c r="F149" s="15"/>
      <c r="I149" s="48"/>
      <c r="J149" s="48"/>
      <c r="K149" s="48"/>
      <c r="L149" s="15"/>
    </row>
    <row r="150" spans="1:12" ht="12.5" x14ac:dyDescent="0.25">
      <c r="A150" s="17" t="s">
        <v>270</v>
      </c>
      <c r="B150" s="49" t="s">
        <v>271</v>
      </c>
      <c r="C150" s="11" t="s">
        <v>31</v>
      </c>
      <c r="D150" s="19">
        <v>250</v>
      </c>
      <c r="E150" s="15"/>
      <c r="F150" s="15"/>
      <c r="I150" s="48"/>
      <c r="J150" s="48"/>
      <c r="K150" s="48"/>
      <c r="L150" s="15"/>
    </row>
    <row r="151" spans="1:12" ht="12.5" x14ac:dyDescent="0.25">
      <c r="A151" s="17" t="s">
        <v>272</v>
      </c>
      <c r="B151" s="42" t="s">
        <v>273</v>
      </c>
      <c r="C151" s="11" t="s">
        <v>31</v>
      </c>
      <c r="D151" s="19">
        <v>300</v>
      </c>
      <c r="E151" s="15"/>
      <c r="F151" s="15"/>
      <c r="I151" s="12"/>
      <c r="J151" s="12"/>
      <c r="K151" s="12"/>
      <c r="L151" s="15"/>
    </row>
    <row r="152" spans="1:12" ht="12.5" x14ac:dyDescent="0.25">
      <c r="A152" s="17" t="s">
        <v>274</v>
      </c>
      <c r="B152" s="50" t="s">
        <v>275</v>
      </c>
      <c r="C152" s="11" t="s">
        <v>50</v>
      </c>
      <c r="D152" s="19">
        <v>0</v>
      </c>
      <c r="E152" s="15"/>
      <c r="F152" s="15"/>
      <c r="I152" s="12"/>
      <c r="J152" s="12"/>
      <c r="K152" s="12"/>
      <c r="L152" s="15"/>
    </row>
    <row r="153" spans="1:12" ht="12.5" x14ac:dyDescent="0.25">
      <c r="A153" s="17" t="s">
        <v>276</v>
      </c>
      <c r="B153" s="50" t="s">
        <v>277</v>
      </c>
      <c r="C153" s="11" t="s">
        <v>31</v>
      </c>
      <c r="D153" s="19">
        <v>100</v>
      </c>
      <c r="E153" s="15"/>
      <c r="F153" s="15"/>
      <c r="I153" s="12"/>
      <c r="J153" s="12"/>
      <c r="K153" s="12"/>
      <c r="L153" s="15"/>
    </row>
    <row r="154" spans="1:12" ht="12.5" x14ac:dyDescent="0.25">
      <c r="A154" s="17" t="s">
        <v>278</v>
      </c>
      <c r="B154" s="50" t="s">
        <v>279</v>
      </c>
      <c r="C154" s="11" t="s">
        <v>31</v>
      </c>
      <c r="D154" s="19">
        <v>150</v>
      </c>
      <c r="E154" s="15"/>
      <c r="F154" s="15"/>
      <c r="I154" s="12"/>
      <c r="J154" s="12"/>
      <c r="K154" s="12"/>
      <c r="L154" s="15"/>
    </row>
    <row r="155" spans="1:12" ht="12.5" x14ac:dyDescent="0.25">
      <c r="A155" s="17" t="s">
        <v>280</v>
      </c>
      <c r="B155" s="50" t="s">
        <v>281</v>
      </c>
      <c r="C155" s="11" t="s">
        <v>31</v>
      </c>
      <c r="D155" s="19">
        <v>200</v>
      </c>
      <c r="E155" s="15"/>
      <c r="F155" s="15"/>
      <c r="I155" s="12"/>
      <c r="J155" s="12"/>
      <c r="K155" s="12"/>
      <c r="L155" s="15"/>
    </row>
    <row r="156" spans="1:12" ht="12.5" x14ac:dyDescent="0.25">
      <c r="A156" s="17" t="s">
        <v>282</v>
      </c>
      <c r="B156" s="50" t="s">
        <v>283</v>
      </c>
      <c r="C156" s="11" t="s">
        <v>50</v>
      </c>
      <c r="D156" s="19">
        <v>0</v>
      </c>
      <c r="E156" s="15"/>
      <c r="F156" s="15"/>
      <c r="I156" s="12"/>
      <c r="J156" s="12"/>
      <c r="K156" s="12"/>
      <c r="L156" s="15"/>
    </row>
    <row r="157" spans="1:12" ht="12.5" x14ac:dyDescent="0.25">
      <c r="A157" s="17" t="s">
        <v>284</v>
      </c>
      <c r="B157" s="50" t="s">
        <v>285</v>
      </c>
      <c r="C157" s="11" t="s">
        <v>31</v>
      </c>
      <c r="D157" s="19">
        <v>300</v>
      </c>
      <c r="E157" s="15"/>
      <c r="F157" s="15"/>
      <c r="I157" s="12"/>
      <c r="J157" s="12"/>
      <c r="K157" s="12"/>
      <c r="L157" s="15"/>
    </row>
    <row r="158" spans="1:12" ht="12.5" x14ac:dyDescent="0.25">
      <c r="A158" s="17" t="s">
        <v>286</v>
      </c>
      <c r="B158" s="50" t="s">
        <v>287</v>
      </c>
      <c r="C158" s="11" t="s">
        <v>50</v>
      </c>
      <c r="D158" s="19">
        <v>0</v>
      </c>
      <c r="E158" s="15"/>
      <c r="F158" s="15"/>
      <c r="I158" s="12"/>
      <c r="J158" s="12"/>
      <c r="K158" s="12"/>
      <c r="L158" s="15"/>
    </row>
    <row r="159" spans="1:12" ht="12.5" x14ac:dyDescent="0.25">
      <c r="A159" s="17" t="s">
        <v>288</v>
      </c>
      <c r="B159" s="50" t="s">
        <v>289</v>
      </c>
      <c r="C159" s="11" t="s">
        <v>50</v>
      </c>
      <c r="D159" s="19">
        <v>0</v>
      </c>
      <c r="E159" s="15"/>
      <c r="F159" s="15"/>
      <c r="I159" s="12"/>
      <c r="J159" s="12"/>
      <c r="K159" s="12"/>
      <c r="L159" s="15"/>
    </row>
    <row r="160" spans="1:12" ht="12.5" x14ac:dyDescent="0.25">
      <c r="A160" s="17" t="s">
        <v>290</v>
      </c>
      <c r="B160" s="50" t="s">
        <v>291</v>
      </c>
      <c r="C160" s="11" t="s">
        <v>50</v>
      </c>
      <c r="D160" s="19">
        <v>0</v>
      </c>
      <c r="E160" s="15"/>
      <c r="F160" s="15"/>
      <c r="I160" s="12"/>
      <c r="J160" s="12"/>
      <c r="K160" s="12"/>
      <c r="L160" s="15"/>
    </row>
    <row r="161" spans="1:12" ht="12.5" x14ac:dyDescent="0.25">
      <c r="A161" s="17" t="s">
        <v>292</v>
      </c>
      <c r="B161" s="50" t="s">
        <v>293</v>
      </c>
      <c r="C161" s="11" t="s">
        <v>50</v>
      </c>
      <c r="D161" s="19">
        <v>0</v>
      </c>
      <c r="E161" s="15"/>
      <c r="F161" s="15"/>
      <c r="I161" s="12"/>
      <c r="J161" s="12"/>
      <c r="K161" s="12"/>
      <c r="L161" s="15"/>
    </row>
    <row r="162" spans="1:12" ht="12.5" x14ac:dyDescent="0.25">
      <c r="A162" s="17" t="s">
        <v>294</v>
      </c>
      <c r="B162" s="51" t="s">
        <v>295</v>
      </c>
      <c r="C162" s="11" t="s">
        <v>31</v>
      </c>
      <c r="D162" s="19">
        <v>0</v>
      </c>
      <c r="E162" s="15"/>
      <c r="F162" s="15"/>
      <c r="I162" s="12"/>
      <c r="J162" s="12"/>
      <c r="K162" s="12"/>
      <c r="L162" s="15"/>
    </row>
    <row r="163" spans="1:12" ht="11.5" x14ac:dyDescent="0.25">
      <c r="A163" s="39">
        <v>8.1999999999999993</v>
      </c>
      <c r="B163" s="7" t="s">
        <v>296</v>
      </c>
      <c r="C163" s="41" t="s">
        <v>297</v>
      </c>
      <c r="D163" s="41"/>
      <c r="E163" s="12"/>
      <c r="F163" s="15"/>
      <c r="I163" s="12"/>
      <c r="J163" s="12"/>
      <c r="K163" s="12"/>
      <c r="L163" s="15"/>
    </row>
    <row r="164" spans="1:12" ht="12.5" x14ac:dyDescent="0.25">
      <c r="A164" s="17" t="s">
        <v>298</v>
      </c>
      <c r="B164" s="42" t="s">
        <v>299</v>
      </c>
      <c r="C164" s="11" t="s">
        <v>300</v>
      </c>
      <c r="D164" s="11" t="s">
        <v>189</v>
      </c>
      <c r="E164" s="12"/>
      <c r="F164" s="15"/>
      <c r="I164" s="12"/>
      <c r="J164" s="12"/>
      <c r="K164" s="12"/>
      <c r="L164" s="15"/>
    </row>
    <row r="165" spans="1:12" ht="12.5" x14ac:dyDescent="0.25">
      <c r="A165" s="17" t="s">
        <v>301</v>
      </c>
      <c r="B165" s="42" t="s">
        <v>302</v>
      </c>
      <c r="C165" s="11" t="s">
        <v>303</v>
      </c>
      <c r="D165" s="12"/>
      <c r="E165" s="12"/>
      <c r="F165" s="15"/>
      <c r="I165" s="12"/>
      <c r="J165" s="12"/>
      <c r="K165" s="12"/>
      <c r="L165" s="15"/>
    </row>
    <row r="166" spans="1:12" ht="12.5" x14ac:dyDescent="0.25">
      <c r="A166" s="17" t="s">
        <v>304</v>
      </c>
      <c r="B166" s="42" t="s">
        <v>305</v>
      </c>
      <c r="C166" s="11" t="s">
        <v>306</v>
      </c>
      <c r="D166" s="12"/>
      <c r="E166" s="12"/>
      <c r="F166" s="15"/>
      <c r="I166" s="12"/>
      <c r="J166" s="12"/>
      <c r="K166" s="12"/>
      <c r="L166" s="15"/>
    </row>
    <row r="167" spans="1:12" ht="112.5" x14ac:dyDescent="0.25">
      <c r="A167" s="17" t="s">
        <v>307</v>
      </c>
      <c r="B167" s="42" t="s">
        <v>308</v>
      </c>
      <c r="C167" s="11" t="s">
        <v>309</v>
      </c>
      <c r="D167" s="12"/>
      <c r="E167" s="12"/>
      <c r="F167" s="15"/>
      <c r="I167" s="12"/>
      <c r="J167" s="12"/>
      <c r="K167" s="12"/>
      <c r="L167" s="15"/>
    </row>
    <row r="168" spans="1:12" ht="12.5" x14ac:dyDescent="0.25">
      <c r="A168" s="17" t="s">
        <v>310</v>
      </c>
      <c r="B168" s="42" t="s">
        <v>311</v>
      </c>
      <c r="C168" s="11" t="s">
        <v>312</v>
      </c>
      <c r="D168" s="12"/>
      <c r="E168" s="12"/>
      <c r="F168" s="15"/>
      <c r="I168" s="12"/>
      <c r="J168" s="12"/>
      <c r="K168" s="12"/>
      <c r="L168" s="15"/>
    </row>
    <row r="169" spans="1:12" ht="12" customHeight="1" x14ac:dyDescent="0.25">
      <c r="A169" s="17" t="s">
        <v>313</v>
      </c>
      <c r="B169" s="5" t="s">
        <v>314</v>
      </c>
      <c r="C169" s="11" t="s">
        <v>315</v>
      </c>
    </row>
    <row r="170" spans="1:12" ht="46" x14ac:dyDescent="0.25">
      <c r="A170" s="46">
        <v>8.3000000000000007</v>
      </c>
      <c r="B170" s="47" t="s">
        <v>113</v>
      </c>
      <c r="C170" s="11" t="s">
        <v>114</v>
      </c>
      <c r="D170" s="32" t="s">
        <v>316</v>
      </c>
      <c r="E170" s="5"/>
      <c r="F170" s="15"/>
      <c r="I170" s="12"/>
      <c r="J170" s="12"/>
      <c r="K170" s="12"/>
      <c r="L170" s="15"/>
    </row>
    <row r="171" spans="1:12" s="53" customFormat="1" ht="125" x14ac:dyDescent="0.25">
      <c r="A171" s="39">
        <v>9</v>
      </c>
      <c r="B171" s="30" t="s">
        <v>317</v>
      </c>
      <c r="C171" s="11" t="s">
        <v>342</v>
      </c>
      <c r="D171" s="52"/>
      <c r="E171" s="52"/>
      <c r="F171" s="52"/>
    </row>
  </sheetData>
  <sheetProtection algorithmName="SHA-512" hashValue="BmNWAsOQQ62OZ/UZRfmMwsUpYGHCYaI3V6VT/HjgWd80Q1NhuLtk+nK8hHcB2mxwqFSuoo2x8GpuvYG9zVIibw==" saltValue="8KWOxShWxMGZgH5b6KPO+w==" spinCount="100000" sheet="1" objects="1" scenarios="1" selectLockedCells="1"/>
  <mergeCells count="1">
    <mergeCell ref="G78:H78"/>
  </mergeCells>
  <dataValidations count="6">
    <dataValidation type="list" allowBlank="1" showInputMessage="1" showErrorMessage="1" error="Please choose a response from the drop down list" sqref="C164">
      <formula1>"&gt;90%, &gt;95%"</formula1>
    </dataValidation>
    <dataValidation type="list" allowBlank="1" showErrorMessage="1" error="Please choose from dropdown list" prompt="Please add a ratio from drop down" sqref="D61:D77">
      <formula1>"1:1,1:2,1:3,1:4,1:5,1:6,1:7,1:8,1:9,1:10,1:15,1:20,1:25,1:30,1:35,1:40,1:45,1:50,1:55,1:60,1:65,1:70,1:75,1:80,1:85,1:90,1:95,1:100,1:105,1:110,1:115,1:120,1:125,1:130,1:135,1:140,1:145,1:150,1:160,1:170,1:180,1:190,1:200,1:225,1:250,1:275,1:300,1:350"</formula1>
    </dataValidation>
    <dataValidation type="list" allowBlank="1" showErrorMessage="1" error="Please choose from dropdown list" prompt="Please add a ratio from drop down" sqref="C97">
      <formula1>"1:1, 1:2, 1:3, 1:4, 1:5, 1:6, 1:7, 1:8, 1:9, 1:10, 1:11, 1:12"</formula1>
    </dataValidation>
    <dataValidation type="whole" allowBlank="1" showErrorMessage="1" error="Please choose a number" prompt="Please add a value between 0 and 1000000" sqref="D6:D31 C33:D58 C61:C77 D79:D85 C91:C92 C94:C96 C101:C104 C124:C126 C128:C130 C134:C136 C138:C140 D147:D162 C113:C118">
      <formula1>0</formula1>
      <formula2>1000000</formula2>
    </dataValidation>
    <dataValidation type="textLength" allowBlank="1" showInputMessage="1" showErrorMessage="1" error="The character limit has been exceeded" prompt="Please provide a precise and concise answer" sqref="C86:C87 C141:C144 C165:C171 C3:C4 C59 D91:D92 C107:C109 C111 C119 C121:C122 D164 C98:C99 C31">
      <formula1>1</formula1>
      <formula2>2000</formula2>
    </dataValidation>
    <dataValidation type="list" allowBlank="1" showInputMessage="1" showErrorMessage="1" sqref="C147:C162 C105 C89 C79:C85 C6:C30">
      <formula1>"Yes, No"</formula1>
    </dataValidation>
  </dataValidations>
  <pageMargins left="0.7" right="0.7" top="0.75" bottom="0.75" header="0.3" footer="0.3"/>
  <pageSetup fitToHeight="0" orientation="landscape"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zoomScale="115" zoomScaleNormal="115" workbookViewId="0">
      <selection activeCell="C2" sqref="C2"/>
    </sheetView>
  </sheetViews>
  <sheetFormatPr defaultColWidth="8.81640625" defaultRowHeight="11.5" x14ac:dyDescent="0.25"/>
  <cols>
    <col min="1" max="1" width="7.54296875" style="5" customWidth="1"/>
    <col min="2" max="2" width="14" style="5" customWidth="1"/>
    <col min="3" max="3" width="33.54296875" style="5" customWidth="1"/>
    <col min="4" max="6" width="19.81640625" style="5" customWidth="1"/>
    <col min="7" max="7" width="22.453125" style="5" customWidth="1"/>
    <col min="8" max="16384" width="8.81640625" style="5"/>
  </cols>
  <sheetData>
    <row r="1" spans="1:7" ht="46" x14ac:dyDescent="0.25">
      <c r="A1" s="70" t="s">
        <v>318</v>
      </c>
      <c r="B1" s="71" t="s">
        <v>319</v>
      </c>
      <c r="C1" s="71" t="s">
        <v>320</v>
      </c>
      <c r="D1" s="71" t="s">
        <v>321</v>
      </c>
      <c r="E1" s="71" t="s">
        <v>322</v>
      </c>
      <c r="F1" s="71" t="s">
        <v>323</v>
      </c>
      <c r="G1" s="71" t="s">
        <v>324</v>
      </c>
    </row>
    <row r="2" spans="1:7" ht="12.5" x14ac:dyDescent="0.25">
      <c r="A2" s="72">
        <v>1</v>
      </c>
      <c r="B2" s="73" t="s">
        <v>325</v>
      </c>
      <c r="C2" s="65">
        <f>D2+E2+F2</f>
        <v>69000</v>
      </c>
      <c r="D2" s="74">
        <v>26500</v>
      </c>
      <c r="E2" s="74">
        <v>12000</v>
      </c>
      <c r="F2" s="74">
        <v>30500</v>
      </c>
      <c r="G2" s="74">
        <v>4</v>
      </c>
    </row>
    <row r="3" spans="1:7" ht="12.5" x14ac:dyDescent="0.25">
      <c r="A3" s="72">
        <v>2</v>
      </c>
      <c r="B3" s="73" t="s">
        <v>326</v>
      </c>
      <c r="C3" s="65">
        <f t="shared" ref="C3:C17" si="0">D3+E3+F3</f>
        <v>69000</v>
      </c>
      <c r="D3" s="74">
        <v>26500</v>
      </c>
      <c r="E3" s="74">
        <v>12000</v>
      </c>
      <c r="F3" s="74">
        <v>30500</v>
      </c>
      <c r="G3" s="74">
        <v>4</v>
      </c>
    </row>
    <row r="4" spans="1:7" ht="12.5" x14ac:dyDescent="0.25">
      <c r="A4" s="72">
        <v>3</v>
      </c>
      <c r="B4" s="73" t="s">
        <v>327</v>
      </c>
      <c r="C4" s="65">
        <f t="shared" si="0"/>
        <v>68000</v>
      </c>
      <c r="D4" s="74">
        <v>26500</v>
      </c>
      <c r="E4" s="74">
        <v>12000</v>
      </c>
      <c r="F4" s="74">
        <v>29500</v>
      </c>
      <c r="G4" s="74">
        <v>8</v>
      </c>
    </row>
    <row r="5" spans="1:7" ht="12.5" x14ac:dyDescent="0.25">
      <c r="A5" s="72">
        <v>4</v>
      </c>
      <c r="B5" s="73" t="s">
        <v>328</v>
      </c>
      <c r="C5" s="65">
        <f t="shared" si="0"/>
        <v>68000</v>
      </c>
      <c r="D5" s="74">
        <v>26500</v>
      </c>
      <c r="E5" s="74">
        <v>12000</v>
      </c>
      <c r="F5" s="74">
        <v>29500</v>
      </c>
      <c r="G5" s="74">
        <v>26</v>
      </c>
    </row>
    <row r="6" spans="1:7" ht="12.5" x14ac:dyDescent="0.25">
      <c r="A6" s="72">
        <v>5</v>
      </c>
      <c r="B6" s="73" t="s">
        <v>329</v>
      </c>
      <c r="C6" s="65">
        <f t="shared" si="0"/>
        <v>68000</v>
      </c>
      <c r="D6" s="74">
        <v>26500</v>
      </c>
      <c r="E6" s="74">
        <v>12000</v>
      </c>
      <c r="F6" s="74">
        <v>29500</v>
      </c>
      <c r="G6" s="74">
        <v>26</v>
      </c>
    </row>
    <row r="7" spans="1:7" ht="12.5" x14ac:dyDescent="0.25">
      <c r="A7" s="72">
        <v>6</v>
      </c>
      <c r="B7" s="73" t="s">
        <v>330</v>
      </c>
      <c r="C7" s="65">
        <f t="shared" si="0"/>
        <v>67500</v>
      </c>
      <c r="D7" s="74">
        <v>26500</v>
      </c>
      <c r="E7" s="74">
        <v>12000</v>
      </c>
      <c r="F7" s="74">
        <v>29000</v>
      </c>
      <c r="G7" s="74">
        <v>26</v>
      </c>
    </row>
    <row r="8" spans="1:7" ht="12.5" x14ac:dyDescent="0.25">
      <c r="A8" s="72">
        <v>7</v>
      </c>
      <c r="B8" s="73" t="s">
        <v>331</v>
      </c>
      <c r="C8" s="65">
        <f t="shared" si="0"/>
        <v>67500</v>
      </c>
      <c r="D8" s="74">
        <v>26500</v>
      </c>
      <c r="E8" s="74">
        <v>12000</v>
      </c>
      <c r="F8" s="74">
        <v>29000</v>
      </c>
      <c r="G8" s="74">
        <v>52</v>
      </c>
    </row>
    <row r="9" spans="1:7" ht="12.5" x14ac:dyDescent="0.25">
      <c r="A9" s="72">
        <v>8</v>
      </c>
      <c r="B9" s="73" t="s">
        <v>332</v>
      </c>
      <c r="C9" s="65">
        <f t="shared" si="0"/>
        <v>67500</v>
      </c>
      <c r="D9" s="74">
        <v>26500</v>
      </c>
      <c r="E9" s="74">
        <v>12000</v>
      </c>
      <c r="F9" s="74">
        <v>29000</v>
      </c>
      <c r="G9" s="74">
        <v>52</v>
      </c>
    </row>
    <row r="10" spans="1:7" ht="12.5" x14ac:dyDescent="0.25">
      <c r="A10" s="72">
        <v>9</v>
      </c>
      <c r="B10" s="73" t="s">
        <v>333</v>
      </c>
      <c r="C10" s="65">
        <f t="shared" si="0"/>
        <v>67000</v>
      </c>
      <c r="D10" s="74">
        <v>26500</v>
      </c>
      <c r="E10" s="74">
        <v>12000</v>
      </c>
      <c r="F10" s="74">
        <v>28500</v>
      </c>
      <c r="G10" s="74">
        <v>52</v>
      </c>
    </row>
    <row r="11" spans="1:7" ht="12.5" x14ac:dyDescent="0.25">
      <c r="A11" s="72">
        <v>10</v>
      </c>
      <c r="B11" s="73" t="s">
        <v>334</v>
      </c>
      <c r="C11" s="65">
        <f t="shared" si="0"/>
        <v>67000</v>
      </c>
      <c r="D11" s="74">
        <v>26500</v>
      </c>
      <c r="E11" s="74">
        <v>12000</v>
      </c>
      <c r="F11" s="74">
        <v>28500</v>
      </c>
      <c r="G11" s="74">
        <v>52</v>
      </c>
    </row>
    <row r="12" spans="1:7" ht="12.5" x14ac:dyDescent="0.25">
      <c r="A12" s="72">
        <v>11</v>
      </c>
      <c r="B12" s="73" t="s">
        <v>335</v>
      </c>
      <c r="C12" s="65">
        <f t="shared" si="0"/>
        <v>67000</v>
      </c>
      <c r="D12" s="74">
        <v>26500</v>
      </c>
      <c r="E12" s="74">
        <v>12000</v>
      </c>
      <c r="F12" s="74">
        <v>28500</v>
      </c>
      <c r="G12" s="74">
        <v>52</v>
      </c>
    </row>
    <row r="13" spans="1:7" ht="12.5" x14ac:dyDescent="0.25">
      <c r="A13" s="72">
        <v>12</v>
      </c>
      <c r="B13" s="73" t="s">
        <v>336</v>
      </c>
      <c r="C13" s="65">
        <f t="shared" si="0"/>
        <v>67000</v>
      </c>
      <c r="D13" s="74">
        <v>26500</v>
      </c>
      <c r="E13" s="74">
        <v>12000</v>
      </c>
      <c r="F13" s="74">
        <v>28500</v>
      </c>
      <c r="G13" s="74">
        <v>52</v>
      </c>
    </row>
    <row r="14" spans="1:7" ht="12.5" x14ac:dyDescent="0.25">
      <c r="A14" s="72">
        <v>13</v>
      </c>
      <c r="B14" s="73" t="s">
        <v>337</v>
      </c>
      <c r="C14" s="65">
        <f t="shared" si="0"/>
        <v>66500</v>
      </c>
      <c r="D14" s="74">
        <v>26500</v>
      </c>
      <c r="E14" s="74">
        <v>12000</v>
      </c>
      <c r="F14" s="74">
        <v>28000</v>
      </c>
      <c r="G14" s="74">
        <v>52</v>
      </c>
    </row>
    <row r="15" spans="1:7" ht="12.5" x14ac:dyDescent="0.25">
      <c r="A15" s="72">
        <v>14</v>
      </c>
      <c r="B15" s="73" t="s">
        <v>338</v>
      </c>
      <c r="C15" s="65">
        <f t="shared" si="0"/>
        <v>66500</v>
      </c>
      <c r="D15" s="74">
        <v>26500</v>
      </c>
      <c r="E15" s="74">
        <v>12000</v>
      </c>
      <c r="F15" s="74">
        <v>28000</v>
      </c>
      <c r="G15" s="74">
        <v>52</v>
      </c>
    </row>
    <row r="16" spans="1:7" ht="12.5" x14ac:dyDescent="0.25">
      <c r="A16" s="72">
        <v>15</v>
      </c>
      <c r="B16" s="73" t="s">
        <v>339</v>
      </c>
      <c r="C16" s="65">
        <f t="shared" si="0"/>
        <v>66500</v>
      </c>
      <c r="D16" s="74">
        <v>26500</v>
      </c>
      <c r="E16" s="74">
        <v>12000</v>
      </c>
      <c r="F16" s="74">
        <v>28000</v>
      </c>
      <c r="G16" s="74">
        <v>52</v>
      </c>
    </row>
    <row r="17" spans="1:7" ht="12.5" x14ac:dyDescent="0.25">
      <c r="A17" s="72">
        <v>16</v>
      </c>
      <c r="B17" s="73" t="s">
        <v>340</v>
      </c>
      <c r="C17" s="65">
        <f t="shared" si="0"/>
        <v>66500</v>
      </c>
      <c r="D17" s="74">
        <v>26500</v>
      </c>
      <c r="E17" s="74">
        <v>12000</v>
      </c>
      <c r="F17" s="74">
        <v>28000</v>
      </c>
      <c r="G17" s="74">
        <v>52</v>
      </c>
    </row>
    <row r="18" spans="1:7" x14ac:dyDescent="0.25">
      <c r="B18" s="37"/>
      <c r="C18" s="37"/>
      <c r="D18" s="37"/>
    </row>
    <row r="19" spans="1:7" ht="13.4" customHeight="1" x14ac:dyDescent="0.25">
      <c r="A19" s="87" t="s">
        <v>341</v>
      </c>
      <c r="B19" s="87"/>
      <c r="C19" s="87"/>
      <c r="D19" s="87"/>
    </row>
    <row r="20" spans="1:7" x14ac:dyDescent="0.25">
      <c r="A20" s="87"/>
      <c r="B20" s="87"/>
      <c r="C20" s="87"/>
      <c r="D20" s="87"/>
    </row>
    <row r="21" spans="1:7" x14ac:dyDescent="0.25">
      <c r="A21" s="87"/>
      <c r="B21" s="87"/>
      <c r="C21" s="87"/>
      <c r="D21" s="87"/>
    </row>
  </sheetData>
  <sheetProtection algorithmName="SHA-512" hashValue="cOJzyQZ5ouRKj7xl6Wi74ZZlxEmRMdxYca9bys8GBALv8kSSglBoFNLChaWWiblUD8Gr4AorgE7G2GeqyITQew==" saltValue="YAOhYNAh7iOvMnsYNJSJeA==" spinCount="100000" sheet="1" objects="1" scenarios="1" selectLockedCells="1"/>
  <mergeCells count="1">
    <mergeCell ref="A19:D21"/>
  </mergeCells>
  <dataValidations count="1">
    <dataValidation type="whole" allowBlank="1" showErrorMessage="1" error="Please choose a number" prompt="Please add a value between 0 and 1000000" sqref="C2:G17">
      <formula1>0</formula1>
      <formula2>1000000</formula2>
    </dataValidation>
  </dataValidations>
  <pageMargins left="0.7" right="0.7" top="0.75" bottom="0.75" header="0.3" footer="0.3"/>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0" ma:contentTypeDescription="Create a new document." ma:contentTypeScope="" ma:versionID="03b9b22d68570d009c2cab09ae683d4c">
  <xsd:schema xmlns:xsd="http://www.w3.org/2001/XMLSchema" xmlns:xs="http://www.w3.org/2001/XMLSchema" xmlns:p="http://schemas.microsoft.com/office/2006/metadata/properties" targetNamespace="http://schemas.microsoft.com/office/2006/metadata/properties" ma:root="true" ma:fieldsID="b764bea3eb9b1a5be8fd57fac5fb459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1FBDA-D784-4589-B412-18503F2BCE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4DC9BC8E-8FED-43E9-9336-6549F465EA57}">
  <ds:schemaRefs>
    <ds:schemaRef ds:uri="http://schemas.microsoft.com/office/2006/metadata/properties"/>
    <ds:schemaRef ds:uri="http://schemas.microsoft.com/office/infopath/2007/PartnerControls"/>
    <ds:schemaRef ds:uri="edf121a8-3aad-4cdc-867a-53333ab4fc95"/>
    <ds:schemaRef ds:uri="92906c92-cb88-4e8e-89af-e8e8a5e6aa78"/>
  </ds:schemaRefs>
</ds:datastoreItem>
</file>

<file path=customXml/itemProps3.xml><?xml version="1.0" encoding="utf-8"?>
<ds:datastoreItem xmlns:ds="http://schemas.openxmlformats.org/officeDocument/2006/customXml" ds:itemID="{45AA152A-6ED4-4BDC-952E-0FD6D0E299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Response Instructions</vt:lpstr>
      <vt:lpstr>Chemistry-Questionnaire</vt:lpstr>
      <vt:lpstr>Chemistry-Pricing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Fernandez Amoruso, Juan Manuel</dc:creator>
  <cp:keywords/>
  <dc:description/>
  <cp:lastModifiedBy>Atharv Joshi</cp:lastModifiedBy>
  <cp:revision/>
  <dcterms:created xsi:type="dcterms:W3CDTF">2023-07-31T10:46:13Z</dcterms:created>
  <dcterms:modified xsi:type="dcterms:W3CDTF">2025-10-17T07:23:37Z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bec58-8084-492e-8360-0e1cfe36408c_Enabled">
    <vt:lpwstr>true</vt:lpwstr>
  </property>
  <property fmtid="{D5CDD505-2E9C-101B-9397-08002B2CF9AE}" pid="3" name="MSIP_Label_3c9bec58-8084-492e-8360-0e1cfe36408c_SetDate">
    <vt:lpwstr>2023-07-31T10:46:15Z</vt:lpwstr>
  </property>
  <property fmtid="{D5CDD505-2E9C-101B-9397-08002B2CF9AE}" pid="4" name="MSIP_Label_3c9bec58-8084-492e-8360-0e1cfe36408c_Method">
    <vt:lpwstr>Standard</vt:lpwstr>
  </property>
  <property fmtid="{D5CDD505-2E9C-101B-9397-08002B2CF9AE}" pid="5" name="MSIP_Label_3c9bec58-8084-492e-8360-0e1cfe36408c_Name">
    <vt:lpwstr>Not Protected -Pilot</vt:lpwstr>
  </property>
  <property fmtid="{D5CDD505-2E9C-101B-9397-08002B2CF9AE}" pid="6" name="MSIP_Label_3c9bec58-8084-492e-8360-0e1cfe36408c_SiteId">
    <vt:lpwstr>f35a6974-607f-47d4-82d7-ff31d7dc53a5</vt:lpwstr>
  </property>
  <property fmtid="{D5CDD505-2E9C-101B-9397-08002B2CF9AE}" pid="7" name="MSIP_Label_3c9bec58-8084-492e-8360-0e1cfe36408c_ActionId">
    <vt:lpwstr>190bea01-cfda-4c25-bb03-98218269a3f5</vt:lpwstr>
  </property>
  <property fmtid="{D5CDD505-2E9C-101B-9397-08002B2CF9AE}" pid="8" name="MSIP_Label_3c9bec58-8084-492e-8360-0e1cfe36408c_ContentBits">
    <vt:lpwstr>0</vt:lpwstr>
  </property>
  <property fmtid="{D5CDD505-2E9C-101B-9397-08002B2CF9AE}" pid="9" name="ContentTypeId">
    <vt:lpwstr>0x0101005203151AFA249B409411D2EE7B6D3581</vt:lpwstr>
  </property>
  <property fmtid="{D5CDD505-2E9C-101B-9397-08002B2CF9AE}" pid="10" name="MediaServiceImageTags">
    <vt:lpwstr/>
  </property>
</Properties>
</file>